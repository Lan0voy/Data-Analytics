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versity\study\4-year_2-semester\Інтелектуальний аналіз даних\Self-study\Chapter 5\"/>
    </mc:Choice>
  </mc:AlternateContent>
  <xr:revisionPtr revIDLastSave="0" documentId="13_ncr:1_{CCFEE01E-DAC1-4BBE-9A25-5E7848A17C8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OC-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6" l="1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E22" i="6"/>
  <c r="D22" i="6"/>
  <c r="G4" i="6"/>
  <c r="G5" i="6"/>
  <c r="G6" i="6"/>
  <c r="G7" i="6"/>
  <c r="G8" i="6"/>
  <c r="G9" i="6"/>
  <c r="G10" i="6"/>
  <c r="G11" i="6"/>
  <c r="G12" i="6"/>
  <c r="G13" i="6"/>
  <c r="G14" i="6"/>
  <c r="G3" i="6"/>
  <c r="F4" i="6"/>
  <c r="F5" i="6"/>
  <c r="F6" i="6"/>
  <c r="F7" i="6"/>
  <c r="F8" i="6"/>
  <c r="F9" i="6"/>
  <c r="F10" i="6"/>
  <c r="F11" i="6"/>
  <c r="F12" i="6"/>
  <c r="F13" i="6"/>
  <c r="F14" i="6"/>
  <c r="F3" i="6"/>
</calcChain>
</file>

<file path=xl/sharedStrings.xml><?xml version="1.0" encoding="utf-8"?>
<sst xmlns="http://schemas.openxmlformats.org/spreadsheetml/2006/main" count="16" uniqueCount="12">
  <si>
    <t>True Positive</t>
  </si>
  <si>
    <t>False Positive</t>
  </si>
  <si>
    <t>True Negative</t>
  </si>
  <si>
    <t>sensitivity</t>
  </si>
  <si>
    <t>specificity</t>
  </si>
  <si>
    <t>TP</t>
  </si>
  <si>
    <t>FN</t>
  </si>
  <si>
    <t>FP</t>
  </si>
  <si>
    <t>TN</t>
  </si>
  <si>
    <t>False Negative</t>
  </si>
  <si>
    <t>cutoff</t>
  </si>
  <si>
    <t>100-specificity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</si>
</sst>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specificity cutoff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'ROC-data'!$F$2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'ROC-data'!$E$3:$E$14</c:f>
              <c:numCache>
                <c:formatCode>General</c:formatCode>
                <c:ptCount val="12"/>
                <c:pt idx="0">
                  <c:v>0.4</c:v>
                </c:pt>
                <c:pt idx="1">
                  <c:v>0.499999999999999</c:v>
                </c:pt>
                <c:pt idx="2">
                  <c:v>0.59999999999999898</c:v>
                </c:pt>
                <c:pt idx="3">
                  <c:v>0.69999999999999896</c:v>
                </c:pt>
                <c:pt idx="4">
                  <c:v>0.79999999999999905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</c:numCache>
            </c:numRef>
          </c:xVal>
          <c:yVal>
            <c:numRef>
              <c:f>'ROC-data'!$F$3:$F$14</c:f>
              <c:numCache>
                <c:formatCode>0.000</c:formatCode>
                <c:ptCount val="12"/>
                <c:pt idx="0">
                  <c:v>0.92157517103287168</c:v>
                </c:pt>
                <c:pt idx="1">
                  <c:v>0.91673619222426161</c:v>
                </c:pt>
                <c:pt idx="2">
                  <c:v>0.90288670115134328</c:v>
                </c:pt>
                <c:pt idx="3">
                  <c:v>0.90522275988653433</c:v>
                </c:pt>
                <c:pt idx="4">
                  <c:v>0.88853662606374106</c:v>
                </c:pt>
                <c:pt idx="5">
                  <c:v>0.87564081362659174</c:v>
                </c:pt>
                <c:pt idx="6">
                  <c:v>0.86528497409326421</c:v>
                </c:pt>
                <c:pt idx="7">
                  <c:v>0.84330867518493613</c:v>
                </c:pt>
                <c:pt idx="8">
                  <c:v>0.83500501504513536</c:v>
                </c:pt>
                <c:pt idx="9">
                  <c:v>0.81224350205198359</c:v>
                </c:pt>
                <c:pt idx="10">
                  <c:v>0.8131330182309251</c:v>
                </c:pt>
                <c:pt idx="11">
                  <c:v>0.80519754912317765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DC-47D6-9983-648D0FF38123}"/>
            </c:ext>
          </c:extLst>
        </c:ser>
        <c:ser>
          <c:idx val="1"/>
          <c:order val="1"/>
          <c:tx>
            <c:strRef>
              <c:f>'ROC-data'!$G$2</c:f>
              <c:strCache>
                <c:ptCount val="1"/>
                <c:pt idx="0">
                  <c:v>specificity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'ROC-data'!$E$3:$E$14</c:f>
              <c:numCache>
                <c:formatCode>General</c:formatCode>
                <c:ptCount val="12"/>
                <c:pt idx="0">
                  <c:v>0.4</c:v>
                </c:pt>
                <c:pt idx="1">
                  <c:v>0.499999999999999</c:v>
                </c:pt>
                <c:pt idx="2">
                  <c:v>0.59999999999999898</c:v>
                </c:pt>
                <c:pt idx="3">
                  <c:v>0.69999999999999896</c:v>
                </c:pt>
                <c:pt idx="4">
                  <c:v>0.79999999999999905</c:v>
                </c:pt>
                <c:pt idx="5">
                  <c:v>0.9</c:v>
                </c:pt>
                <c:pt idx="6">
                  <c:v>1</c:v>
                </c:pt>
                <c:pt idx="7">
                  <c:v>1.1000000000000001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</c:numCache>
            </c:numRef>
          </c:xVal>
          <c:yVal>
            <c:numRef>
              <c:f>'ROC-data'!$G$3:$G$14</c:f>
              <c:numCache>
                <c:formatCode>0.000</c:formatCode>
                <c:ptCount val="12"/>
                <c:pt idx="0">
                  <c:v>0.5467638088783463</c:v>
                </c:pt>
                <c:pt idx="1">
                  <c:v>0.59369705184683164</c:v>
                </c:pt>
                <c:pt idx="2">
                  <c:v>0.6277533039647577</c:v>
                </c:pt>
                <c:pt idx="3">
                  <c:v>0.66180955608268388</c:v>
                </c:pt>
                <c:pt idx="4">
                  <c:v>0.69569637411047103</c:v>
                </c:pt>
                <c:pt idx="5">
                  <c:v>0.7203694202154951</c:v>
                </c:pt>
                <c:pt idx="6">
                  <c:v>0.73145650708024279</c:v>
                </c:pt>
                <c:pt idx="7">
                  <c:v>0.73734656129140741</c:v>
                </c:pt>
                <c:pt idx="8">
                  <c:v>0.74530695078640286</c:v>
                </c:pt>
                <c:pt idx="9">
                  <c:v>0.75595238095238093</c:v>
                </c:pt>
                <c:pt idx="10">
                  <c:v>0.76808439383791027</c:v>
                </c:pt>
                <c:pt idx="11">
                  <c:v>0.79578447794528195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DC-47D6-9983-648D0FF3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946751"/>
        <c:axId val="1029947711"/>
      </c:scatterChart>
      <c:valAx>
        <c:axId val="102994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7711"/>
        <c:crosses val="autoZero"/>
        <c:crossBetween val="midCat"/>
      </c:valAx>
      <c:valAx>
        <c:axId val="102994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4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'ROC-data'!$E$20</c:f>
              <c:strCache>
                <c:ptCount val="1"/>
                <c:pt idx="0">
                  <c:v>sensitivity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'ROC-data'!$D$21:$D$33</c:f>
              <c:numCache>
                <c:formatCode>General</c:formatCode>
                <c:ptCount val="13"/>
                <c:pt idx="0">
                  <c:v>0</c:v>
                </c:pt>
                <c:pt idx="1">
                  <c:v>20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41</c:v>
                </c:pt>
                <c:pt idx="12">
                  <c:v>45</c:v>
                </c:pt>
              </c:numCache>
            </c:numRef>
          </c:xVal>
          <c:yVal>
            <c:numRef>
              <c:f>'ROC-data'!$E$21:$E$33</c:f>
              <c:numCache>
                <c:formatCode>General</c:formatCode>
                <c:ptCount val="13"/>
                <c:pt idx="0">
                  <c:v>0</c:v>
                </c:pt>
                <c:pt idx="1">
                  <c:v>81</c:v>
                </c:pt>
                <c:pt idx="2">
                  <c:v>81</c:v>
                </c:pt>
                <c:pt idx="3">
                  <c:v>81</c:v>
                </c:pt>
                <c:pt idx="4">
                  <c:v>84</c:v>
                </c:pt>
                <c:pt idx="5">
                  <c:v>84</c:v>
                </c:pt>
                <c:pt idx="6">
                  <c:v>87</c:v>
                </c:pt>
                <c:pt idx="7">
                  <c:v>88</c:v>
                </c:pt>
                <c:pt idx="8">
                  <c:v>89</c:v>
                </c:pt>
                <c:pt idx="9">
                  <c:v>91</c:v>
                </c:pt>
                <c:pt idx="10">
                  <c:v>90</c:v>
                </c:pt>
                <c:pt idx="11">
                  <c:v>92</c:v>
                </c:pt>
                <c:pt idx="12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83-477C-8360-FE88AFC23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444719"/>
        <c:axId val="1182374575"/>
      </c:scatterChart>
      <c:valAx>
        <c:axId val="90444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74575"/>
        <c:crosses val="autoZero"/>
        <c:crossBetween val="midCat"/>
      </c:valAx>
      <c:valAx>
        <c:axId val="11823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4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246290</xdr:colOff>
      <xdr:row>0</xdr:row>
      <xdr:rowOff>162605</xdr:rowOff>
    </xdr:from>
    <xdr:to>
      <xdr:col>14</xdr:col>
      <xdr:colOff>359229</xdr:colOff>
      <xdr:row>15</xdr:row>
      <xdr:rowOff>48305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46F607-481F-8C78-3E16-99D7430DD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341780</xdr:colOff>
      <xdr:row>19</xdr:row>
      <xdr:rowOff>45944</xdr:rowOff>
    </xdr:from>
    <xdr:to>
      <xdr:col>12</xdr:col>
      <xdr:colOff>229721</xdr:colOff>
      <xdr:row>33</xdr:row>
      <xdr:rowOff>122144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442742D-800A-2224-11CB-29E219D58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B1" zoomScale="85" zoomScaleNormal="85" workbookViewId="0">
      <selection activeCell="F37" sqref="F37"/>
    </sheetView>
  </sheetViews>
  <sheetFormatPr defaultRowHeight="15" x14ac:dyDescent="0.25"/>
  <cols>
    <col min="1" max="1" width="12.5703125" bestFit="1" customWidth="1"/>
    <col min="2" max="2" width="14.140625" bestFit="1" customWidth="1"/>
    <col min="3" max="3" width="13.28515625" bestFit="1" customWidth="1"/>
    <col min="4" max="4" width="13.85546875" bestFit="1" customWidth="1"/>
    <col min="5" max="5" width="11.28515625" customWidth="1"/>
    <col min="6" max="6" width="12" bestFit="1" customWidth="1"/>
    <col min="7" max="7" width="10" bestFit="1" customWidth="1"/>
    <col min="8" max="8" width="11.85546875" bestFit="1" customWidth="1"/>
  </cols>
  <sheetData>
    <row r="1" spans="1:7" x14ac:dyDescent="0.25">
      <c r="A1" t="s">
        <v>0</v>
      </c>
      <c r="B1" t="s">
        <v>9</v>
      </c>
      <c r="C1" t="s">
        <v>1</v>
      </c>
      <c r="D1" t="s">
        <v>2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3" t="s">
        <v>10</v>
      </c>
      <c r="F2" s="1" t="s">
        <v>3</v>
      </c>
      <c r="G2" s="1" t="s">
        <v>4</v>
      </c>
    </row>
    <row r="3" spans="1:7" x14ac:dyDescent="0.25">
      <c r="A3">
        <v>5523</v>
      </c>
      <c r="B3">
        <v>470</v>
      </c>
      <c r="C3">
        <v>2675</v>
      </c>
      <c r="D3">
        <v>3227</v>
      </c>
      <c r="E3">
        <v>0.4</v>
      </c>
      <c r="F3" s="2">
        <f>A3/(A3+B3)</f>
        <v>0.92157517103287168</v>
      </c>
      <c r="G3" s="2">
        <f>D3/(C3+D3)</f>
        <v>0.5467638088783463</v>
      </c>
    </row>
    <row r="4" spans="1:7" x14ac:dyDescent="0.25">
      <c r="A4">
        <v>5494</v>
      </c>
      <c r="B4">
        <v>499</v>
      </c>
      <c r="C4">
        <v>2398</v>
      </c>
      <c r="D4">
        <v>3504</v>
      </c>
      <c r="E4">
        <v>0.499999999999999</v>
      </c>
      <c r="F4" s="2">
        <f t="shared" ref="F4:F14" si="0">A4/(A4+B4)</f>
        <v>0.91673619222426161</v>
      </c>
      <c r="G4" s="2">
        <f t="shared" ref="G4:G14" si="1">D4/(C4+D4)</f>
        <v>0.59369705184683164</v>
      </c>
    </row>
    <row r="5" spans="1:7" x14ac:dyDescent="0.25">
      <c r="A5">
        <v>5411</v>
      </c>
      <c r="B5">
        <v>582</v>
      </c>
      <c r="C5">
        <v>2197</v>
      </c>
      <c r="D5">
        <v>3705</v>
      </c>
      <c r="E5">
        <v>0.59999999999999898</v>
      </c>
      <c r="F5" s="2">
        <f t="shared" si="0"/>
        <v>0.90288670115134328</v>
      </c>
      <c r="G5" s="2">
        <f t="shared" si="1"/>
        <v>0.6277533039647577</v>
      </c>
    </row>
    <row r="6" spans="1:7" x14ac:dyDescent="0.25">
      <c r="A6">
        <v>5425</v>
      </c>
      <c r="B6">
        <v>568</v>
      </c>
      <c r="C6">
        <v>1996</v>
      </c>
      <c r="D6">
        <v>3906</v>
      </c>
      <c r="E6">
        <v>0.69999999999999896</v>
      </c>
      <c r="F6" s="2">
        <f t="shared" si="0"/>
        <v>0.90522275988653433</v>
      </c>
      <c r="G6" s="2">
        <f t="shared" si="1"/>
        <v>0.66180955608268388</v>
      </c>
    </row>
    <row r="7" spans="1:7" x14ac:dyDescent="0.25">
      <c r="A7">
        <v>5325</v>
      </c>
      <c r="B7">
        <v>668</v>
      </c>
      <c r="C7">
        <v>1796</v>
      </c>
      <c r="D7">
        <v>4106</v>
      </c>
      <c r="E7">
        <v>0.79999999999999905</v>
      </c>
      <c r="F7" s="2">
        <f t="shared" si="0"/>
        <v>0.88853662606374106</v>
      </c>
      <c r="G7" s="2">
        <f t="shared" si="1"/>
        <v>0.69569637411047103</v>
      </c>
    </row>
    <row r="8" spans="1:7" x14ac:dyDescent="0.25">
      <c r="A8">
        <v>5295</v>
      </c>
      <c r="B8">
        <v>752</v>
      </c>
      <c r="C8">
        <v>1635</v>
      </c>
      <c r="D8">
        <v>4212</v>
      </c>
      <c r="E8">
        <v>0.9</v>
      </c>
      <c r="F8" s="2">
        <f t="shared" si="0"/>
        <v>0.87564081362659174</v>
      </c>
      <c r="G8" s="2">
        <f t="shared" si="1"/>
        <v>0.7203694202154951</v>
      </c>
    </row>
    <row r="9" spans="1:7" x14ac:dyDescent="0.25">
      <c r="A9">
        <v>5177</v>
      </c>
      <c r="B9">
        <v>806</v>
      </c>
      <c r="C9">
        <v>1593</v>
      </c>
      <c r="D9">
        <v>4339</v>
      </c>
      <c r="E9">
        <v>1</v>
      </c>
      <c r="F9" s="2">
        <f t="shared" si="0"/>
        <v>0.86528497409326421</v>
      </c>
      <c r="G9" s="2">
        <f t="shared" si="1"/>
        <v>0.73145650708024279</v>
      </c>
    </row>
    <row r="10" spans="1:7" x14ac:dyDescent="0.25">
      <c r="A10">
        <v>5016</v>
      </c>
      <c r="B10">
        <v>932</v>
      </c>
      <c r="C10">
        <v>1562</v>
      </c>
      <c r="D10">
        <v>4385</v>
      </c>
      <c r="E10">
        <v>1.1000000000000001</v>
      </c>
      <c r="F10" s="2">
        <f t="shared" si="0"/>
        <v>0.84330867518493613</v>
      </c>
      <c r="G10" s="2">
        <f t="shared" si="1"/>
        <v>0.73734656129140741</v>
      </c>
    </row>
    <row r="11" spans="1:7" x14ac:dyDescent="0.25">
      <c r="A11">
        <v>4995</v>
      </c>
      <c r="B11">
        <v>987</v>
      </c>
      <c r="C11">
        <v>1506</v>
      </c>
      <c r="D11">
        <v>4407</v>
      </c>
      <c r="E11">
        <v>1.2</v>
      </c>
      <c r="F11" s="2">
        <f t="shared" si="0"/>
        <v>0.83500501504513536</v>
      </c>
      <c r="G11" s="2">
        <f t="shared" si="1"/>
        <v>0.74530695078640286</v>
      </c>
    </row>
    <row r="12" spans="1:7" x14ac:dyDescent="0.25">
      <c r="A12">
        <v>4750</v>
      </c>
      <c r="B12">
        <v>1098</v>
      </c>
      <c r="C12">
        <v>1476</v>
      </c>
      <c r="D12">
        <v>4572</v>
      </c>
      <c r="E12">
        <v>1.3</v>
      </c>
      <c r="F12" s="2">
        <f t="shared" si="0"/>
        <v>0.81224350205198359</v>
      </c>
      <c r="G12" s="2">
        <f t="shared" si="1"/>
        <v>0.75595238095238093</v>
      </c>
    </row>
    <row r="13" spans="1:7" x14ac:dyDescent="0.25">
      <c r="A13">
        <v>4817</v>
      </c>
      <c r="B13">
        <v>1107</v>
      </c>
      <c r="C13">
        <v>1385</v>
      </c>
      <c r="D13">
        <v>4587</v>
      </c>
      <c r="E13">
        <v>1.4</v>
      </c>
      <c r="F13" s="2">
        <f t="shared" si="0"/>
        <v>0.8131330182309251</v>
      </c>
      <c r="G13" s="2">
        <f t="shared" si="1"/>
        <v>0.76808439383791027</v>
      </c>
    </row>
    <row r="14" spans="1:7" x14ac:dyDescent="0.25">
      <c r="A14">
        <v>3811</v>
      </c>
      <c r="B14">
        <v>922</v>
      </c>
      <c r="C14">
        <v>1463</v>
      </c>
      <c r="D14">
        <v>5701</v>
      </c>
      <c r="E14">
        <v>1.5</v>
      </c>
      <c r="F14" s="2">
        <f t="shared" si="0"/>
        <v>0.80519754912317765</v>
      </c>
      <c r="G14" s="2">
        <f t="shared" si="1"/>
        <v>0.79578447794528195</v>
      </c>
    </row>
    <row r="20" spans="1:7" x14ac:dyDescent="0.25">
      <c r="A20" t="s">
        <v>10</v>
      </c>
      <c r="B20" t="s">
        <v>3</v>
      </c>
      <c r="C20" t="s">
        <v>4</v>
      </c>
      <c r="D20" t="s">
        <v>11</v>
      </c>
      <c r="E20" t="s">
        <v>3</v>
      </c>
    </row>
    <row r="21" spans="1:7" x14ac:dyDescent="0.25">
      <c r="D21">
        <v>0</v>
      </c>
      <c r="E21">
        <v>0</v>
      </c>
    </row>
    <row r="22" spans="1:7" x14ac:dyDescent="0.25">
      <c r="A22" s="2">
        <v>1.5</v>
      </c>
      <c r="B22">
        <v>0.80519754912317765</v>
      </c>
      <c r="C22">
        <v>0.79578447794528195</v>
      </c>
      <c r="D22">
        <f>100-ROUND(C22*100,0)</f>
        <v>20</v>
      </c>
      <c r="E22">
        <f>ROUND(B22*100,0)</f>
        <v>81</v>
      </c>
      <c r="F22" s="2"/>
      <c r="G22" s="2"/>
    </row>
    <row r="23" spans="1:7" x14ac:dyDescent="0.25">
      <c r="A23" s="2">
        <v>1.4</v>
      </c>
      <c r="B23">
        <v>0.8131330182309251</v>
      </c>
      <c r="C23">
        <v>0.76808439383791027</v>
      </c>
      <c r="D23">
        <f>100-ROUND(C23*100,0)</f>
        <v>23</v>
      </c>
      <c r="E23">
        <f>ROUND(B23*100,0)</f>
        <v>81</v>
      </c>
    </row>
    <row r="24" spans="1:7" x14ac:dyDescent="0.25">
      <c r="A24" s="2">
        <v>1.3</v>
      </c>
      <c r="B24">
        <v>0.81224350205198359</v>
      </c>
      <c r="C24">
        <v>0.75595238095238093</v>
      </c>
      <c r="D24">
        <f>100-ROUND(C24*100,0)</f>
        <v>24</v>
      </c>
      <c r="E24">
        <f>ROUND(B24*100,0)</f>
        <v>81</v>
      </c>
    </row>
    <row r="25" spans="1:7" x14ac:dyDescent="0.25">
      <c r="A25" s="2">
        <v>1.2</v>
      </c>
      <c r="B25">
        <v>0.83500501504513536</v>
      </c>
      <c r="C25">
        <v>0.74530695078640286</v>
      </c>
      <c r="D25">
        <f>100-ROUND(C25*100,0)</f>
        <v>25</v>
      </c>
      <c r="E25">
        <f>ROUND(B25*100,0)</f>
        <v>84</v>
      </c>
    </row>
    <row r="26" spans="1:7" x14ac:dyDescent="0.25">
      <c r="A26" s="2">
        <v>1.1000000000000001</v>
      </c>
      <c r="B26">
        <v>0.84330867518493613</v>
      </c>
      <c r="C26">
        <v>0.73734656129140741</v>
      </c>
      <c r="D26">
        <f>100-ROUND(C26*100,0)</f>
        <v>26</v>
      </c>
      <c r="E26">
        <f>ROUND(B26*100,0)</f>
        <v>84</v>
      </c>
    </row>
    <row r="27" spans="1:7" x14ac:dyDescent="0.25">
      <c r="A27" s="2">
        <v>1</v>
      </c>
      <c r="B27">
        <v>0.86528497409326421</v>
      </c>
      <c r="C27">
        <v>0.73145650708024279</v>
      </c>
      <c r="D27">
        <f>100-ROUND(C27*100,0)</f>
        <v>27</v>
      </c>
      <c r="E27">
        <f>ROUND(B27*100,0)</f>
        <v>87</v>
      </c>
    </row>
    <row r="28" spans="1:7" x14ac:dyDescent="0.25">
      <c r="A28" s="2">
        <v>0.9</v>
      </c>
      <c r="B28">
        <v>0.87564081362659174</v>
      </c>
      <c r="C28">
        <v>0.7203694202154951</v>
      </c>
      <c r="D28">
        <f>100-ROUND(C28*100,0)</f>
        <v>28</v>
      </c>
      <c r="E28">
        <f>ROUND(B28*100,0)</f>
        <v>88</v>
      </c>
    </row>
    <row r="29" spans="1:7" x14ac:dyDescent="0.25">
      <c r="A29" s="2">
        <v>0.79999999999999905</v>
      </c>
      <c r="B29">
        <v>0.88853662606374106</v>
      </c>
      <c r="C29">
        <v>0.69569637411047103</v>
      </c>
      <c r="D29">
        <f>100-ROUND(C29*100,0)</f>
        <v>30</v>
      </c>
      <c r="E29">
        <f>ROUND(B29*100,0)</f>
        <v>89</v>
      </c>
    </row>
    <row r="30" spans="1:7" x14ac:dyDescent="0.25">
      <c r="A30" s="2">
        <v>0.69999999999999896</v>
      </c>
      <c r="B30">
        <v>0.90522275988653433</v>
      </c>
      <c r="C30" s="2">
        <v>0.66180955608268388</v>
      </c>
      <c r="D30">
        <f>100-ROUND(C30*100,0)</f>
        <v>34</v>
      </c>
      <c r="E30">
        <f>ROUND(B30*100,0)</f>
        <v>91</v>
      </c>
    </row>
    <row r="31" spans="1:7" x14ac:dyDescent="0.25">
      <c r="A31">
        <v>0.59999999999999898</v>
      </c>
      <c r="B31">
        <v>0.90288670115134328</v>
      </c>
      <c r="C31">
        <v>0.6277533039647577</v>
      </c>
      <c r="D31">
        <f>100-ROUND(C31*100,0)</f>
        <v>37</v>
      </c>
      <c r="E31">
        <f>ROUND(B31*100,0)</f>
        <v>90</v>
      </c>
    </row>
    <row r="32" spans="1:7" x14ac:dyDescent="0.25">
      <c r="A32">
        <v>0.499999999999999</v>
      </c>
      <c r="B32">
        <v>0.91673619222426161</v>
      </c>
      <c r="C32">
        <v>0.59369705184683164</v>
      </c>
      <c r="D32">
        <f>100-ROUND(C32*100,0)</f>
        <v>41</v>
      </c>
      <c r="E32">
        <f>ROUND(B32*100,0)</f>
        <v>92</v>
      </c>
    </row>
    <row r="33" spans="1:5" x14ac:dyDescent="0.25">
      <c r="A33">
        <v>0.4</v>
      </c>
      <c r="B33">
        <v>0.92157517103287168</v>
      </c>
      <c r="C33">
        <v>0.5467638088783463</v>
      </c>
      <c r="D33">
        <f>100-ROUND(C33*100,0)</f>
        <v>45</v>
      </c>
      <c r="E33">
        <f>ROUND(B33*100,0)</f>
        <v>92</v>
      </c>
    </row>
    <row r="34" spans="1:5" x14ac:dyDescent="0.25">
      <c r="B34" s="2"/>
    </row>
    <row r="35" spans="1:5" x14ac:dyDescent="0.25">
      <c r="B35" s="2"/>
      <c r="C35" s="2"/>
    </row>
    <row r="36" spans="1:5" x14ac:dyDescent="0.25">
      <c r="B36" s="2"/>
      <c r="C36" s="2"/>
    </row>
    <row r="37" spans="1:5" x14ac:dyDescent="0.25">
      <c r="B37" s="2"/>
      <c r="C37" s="2"/>
    </row>
    <row r="38" spans="1:5" x14ac:dyDescent="0.25">
      <c r="B38" s="2"/>
      <c r="C38" s="2"/>
    </row>
    <row r="39" spans="1:5" x14ac:dyDescent="0.25">
      <c r="B39" s="2"/>
      <c r="C39" s="2"/>
    </row>
    <row r="40" spans="1:5" x14ac:dyDescent="0.25">
      <c r="B40" s="2"/>
      <c r="C40" s="2"/>
    </row>
    <row r="41" spans="1:5" x14ac:dyDescent="0.25">
      <c r="B41" s="2"/>
      <c r="C41" s="2"/>
    </row>
    <row r="42" spans="1:5" x14ac:dyDescent="0.25">
      <c r="B42" s="2"/>
      <c r="C42" s="2"/>
    </row>
    <row r="43" spans="1:5" x14ac:dyDescent="0.25">
      <c r="B43" s="2"/>
      <c r="C43" s="2"/>
    </row>
    <row r="44" spans="1:5" x14ac:dyDescent="0.25">
      <c r="B44" s="2"/>
      <c r="C44" s="2"/>
    </row>
    <row r="45" spans="1:5" x14ac:dyDescent="0.25">
      <c r="B45" s="2"/>
      <c r="C45" s="2"/>
    </row>
    <row r="46" spans="1:5" x14ac:dyDescent="0.25">
      <c r="B46" s="2"/>
      <c r="C46" s="2"/>
    </row>
    <row r="47" spans="1:5" x14ac:dyDescent="0.25">
      <c r="B47" s="2"/>
      <c r="C47" s="2"/>
    </row>
  </sheetData>
  <sortState xmlns:xlrd2="http://schemas.microsoft.com/office/spreadsheetml/2017/richdata2" ref="A22:C33">
    <sortCondition descending="1" ref="A22:A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ROC-data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</dc:creator>
  <cp:lastModifiedBy>ööuoz 442</cp:lastModifiedBy>
  <dcterms:created xsi:type="dcterms:W3CDTF">2019-09-24T19:39:05Z</dcterms:created>
  <dcterms:modified xsi:type="dcterms:W3CDTF">2026-05-15T21:13:59Z</dcterms:modified>
</cp:coreProperties>
</file>