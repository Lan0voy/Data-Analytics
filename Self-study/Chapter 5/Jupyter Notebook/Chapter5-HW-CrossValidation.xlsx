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4092343D-FB4E-49A8-8B98-3F65318F13CC}" xr6:coauthVersionLast="47" xr6:coauthVersionMax="47" xr10:uidLastSave="{00000000-0000-0000-0000-000000000000}"/>
  <bookViews>
    <workbookView xWindow="-120" yWindow="-120" windowWidth="29040" windowHeight="15720" activeTab="1" xr2:uid="{00000000-000D-0000-FFFF-FFFF00000000}"/>
  </bookViews>
  <sheets>
    <sheet name="LDA-Training-Dataset" sheetId="6" r:id="rId1"/>
    <sheet name="Testing-Dataset" sheetId="11" r:id="rId2"/>
    <sheet name="Reference" sheetId="12" r:id="rId3"/>
  </sheets>
  <definedNames>
    <definedName name="solver_adj" localSheetId="0" hidden="1">'LDA-Training-Dataset'!$W$9:$W$22</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100</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nwt" localSheetId="0" hidden="1">1</definedName>
    <definedName name="solver_opt" localSheetId="0" hidden="1">'LDA-Training-Dataset'!$V$39</definedName>
    <definedName name="solver_pre" localSheetId="0" hidden="1">0.000001</definedName>
    <definedName name="solver_rbv" localSheetId="0" hidden="1">1</definedName>
    <definedName name="solver_rlx" localSheetId="0" hidden="1">1</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0.001</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5" i="11" l="1"/>
  <c r="W34" i="11"/>
  <c r="Q3" i="11"/>
  <c r="R3" i="11"/>
  <c r="Q4" i="11"/>
  <c r="R4" i="11" s="1"/>
  <c r="Q5" i="11"/>
  <c r="R5" i="11"/>
  <c r="Q6" i="11"/>
  <c r="R6" i="11" s="1"/>
  <c r="Q7" i="11"/>
  <c r="R7" i="11"/>
  <c r="Q8" i="11"/>
  <c r="R8" i="11" s="1"/>
  <c r="Q9" i="11"/>
  <c r="R9" i="11"/>
  <c r="Q10" i="11"/>
  <c r="R10" i="11" s="1"/>
  <c r="Q11" i="11"/>
  <c r="R11" i="11"/>
  <c r="Q12" i="11"/>
  <c r="R12" i="11" s="1"/>
  <c r="Q13" i="11"/>
  <c r="R13" i="11"/>
  <c r="Q14" i="11"/>
  <c r="R14" i="11" s="1"/>
  <c r="Q15" i="11"/>
  <c r="R15" i="11"/>
  <c r="Q16" i="11"/>
  <c r="R16" i="11" s="1"/>
  <c r="Q17" i="11"/>
  <c r="R17" i="11"/>
  <c r="Q18" i="11"/>
  <c r="R18" i="11" s="1"/>
  <c r="Q19" i="11"/>
  <c r="R19" i="11"/>
  <c r="Q20" i="11"/>
  <c r="R20" i="11" s="1"/>
  <c r="Q21" i="11"/>
  <c r="R21" i="11"/>
  <c r="Q22" i="11"/>
  <c r="R22" i="11" s="1"/>
  <c r="Q23" i="11"/>
  <c r="R23" i="11"/>
  <c r="Q24" i="11"/>
  <c r="R24" i="11" s="1"/>
  <c r="Q25" i="11"/>
  <c r="R25" i="11"/>
  <c r="Q26" i="11"/>
  <c r="R26" i="11" s="1"/>
  <c r="Q27" i="11"/>
  <c r="R27" i="11"/>
  <c r="Q28" i="11"/>
  <c r="R28" i="11" s="1"/>
  <c r="Q29" i="11"/>
  <c r="R29" i="11"/>
  <c r="Q30" i="11"/>
  <c r="R30" i="11" s="1"/>
  <c r="Q31" i="11"/>
  <c r="R31" i="11"/>
  <c r="Q32" i="11"/>
  <c r="R32" i="11" s="1"/>
  <c r="Q33" i="11"/>
  <c r="R33" i="11"/>
  <c r="Q34" i="11"/>
  <c r="R34" i="11" s="1"/>
  <c r="Q35" i="11"/>
  <c r="R35" i="11"/>
  <c r="Q36" i="11"/>
  <c r="R36" i="11" s="1"/>
  <c r="Q37" i="11"/>
  <c r="R37" i="11"/>
  <c r="Q38" i="11"/>
  <c r="R38" i="11" s="1"/>
  <c r="Q39" i="11"/>
  <c r="R39" i="11"/>
  <c r="Q40" i="11"/>
  <c r="R40" i="11" s="1"/>
  <c r="Q41" i="11"/>
  <c r="R41" i="11"/>
  <c r="Q42" i="11"/>
  <c r="R42" i="11" s="1"/>
  <c r="Q43" i="11"/>
  <c r="R43" i="11"/>
  <c r="Q44" i="11"/>
  <c r="R44" i="11" s="1"/>
  <c r="Q45" i="11"/>
  <c r="R45" i="11"/>
  <c r="Q46" i="11"/>
  <c r="R46" i="11" s="1"/>
  <c r="Q47" i="11"/>
  <c r="R47" i="11"/>
  <c r="Q48" i="11"/>
  <c r="R48" i="11" s="1"/>
  <c r="Q49" i="11"/>
  <c r="R49" i="11"/>
  <c r="Q50" i="11"/>
  <c r="R50" i="11" s="1"/>
  <c r="Q51" i="11"/>
  <c r="R51" i="11"/>
  <c r="Q52" i="11"/>
  <c r="R52" i="11" s="1"/>
  <c r="Q53" i="11"/>
  <c r="R53" i="11"/>
  <c r="R2" i="11"/>
  <c r="Q2" i="11"/>
  <c r="V30" i="11"/>
  <c r="U30" i="11"/>
  <c r="V29" i="11"/>
  <c r="U29" i="11"/>
  <c r="W29" i="11" s="1"/>
  <c r="V28" i="11"/>
  <c r="U28" i="11"/>
  <c r="W28" i="11" s="1"/>
  <c r="P3" i="11" a="1"/>
  <c r="P3" i="11" s="1"/>
  <c r="P4" i="11" a="1"/>
  <c r="P4" i="11" s="1"/>
  <c r="P5" i="11" a="1"/>
  <c r="P5" i="11" s="1"/>
  <c r="P6" i="11" a="1"/>
  <c r="P6" i="11" s="1"/>
  <c r="P7" i="11" a="1"/>
  <c r="P7" i="11" s="1"/>
  <c r="P8" i="11" a="1"/>
  <c r="P8" i="11" s="1"/>
  <c r="P9" i="11" a="1"/>
  <c r="P9" i="11" s="1"/>
  <c r="P10" i="11" a="1"/>
  <c r="P10" i="11" s="1"/>
  <c r="P11" i="11" a="1"/>
  <c r="P11" i="11" s="1"/>
  <c r="P12" i="11" a="1"/>
  <c r="P12" i="11" s="1"/>
  <c r="P13" i="11" a="1"/>
  <c r="P13" i="11" s="1"/>
  <c r="P14" i="11" a="1"/>
  <c r="P14" i="11" s="1"/>
  <c r="P15" i="11" a="1"/>
  <c r="P15" i="11" s="1"/>
  <c r="P16" i="11" a="1"/>
  <c r="P16" i="11" s="1"/>
  <c r="P17" i="11" a="1"/>
  <c r="P17" i="11" s="1"/>
  <c r="P18" i="11" a="1"/>
  <c r="P18" i="11" s="1"/>
  <c r="P19" i="11" a="1"/>
  <c r="P19" i="11" s="1"/>
  <c r="P20" i="11" a="1"/>
  <c r="P20" i="11" s="1"/>
  <c r="P21" i="11" a="1"/>
  <c r="P21" i="11" s="1"/>
  <c r="P22" i="11" a="1"/>
  <c r="P22" i="11" s="1"/>
  <c r="P23" i="11" a="1"/>
  <c r="P23" i="11" s="1"/>
  <c r="P24" i="11" a="1"/>
  <c r="P24" i="11" s="1"/>
  <c r="P25" i="11" a="1"/>
  <c r="P25" i="11" s="1"/>
  <c r="P26" i="11" a="1"/>
  <c r="P26" i="11" s="1"/>
  <c r="P27" i="11" a="1"/>
  <c r="P27" i="11" s="1"/>
  <c r="P28" i="11" a="1"/>
  <c r="P28" i="11" s="1"/>
  <c r="P29" i="11" a="1"/>
  <c r="P29" i="11" s="1"/>
  <c r="P30" i="11" a="1"/>
  <c r="P30" i="11" s="1"/>
  <c r="P31" i="11" a="1"/>
  <c r="P31" i="11" s="1"/>
  <c r="P32" i="11" a="1"/>
  <c r="P32" i="11" s="1"/>
  <c r="P33" i="11" a="1"/>
  <c r="P33" i="11" s="1"/>
  <c r="P34" i="11" a="1"/>
  <c r="P34" i="11" s="1"/>
  <c r="P35" i="11" a="1"/>
  <c r="P35" i="11" s="1"/>
  <c r="P36" i="11" a="1"/>
  <c r="P36" i="11" s="1"/>
  <c r="P37" i="11" a="1"/>
  <c r="P37" i="11" s="1"/>
  <c r="P38" i="11" a="1"/>
  <c r="P38" i="11" s="1"/>
  <c r="P39" i="11" a="1"/>
  <c r="P39" i="11" s="1"/>
  <c r="P40" i="11" a="1"/>
  <c r="P40" i="11" s="1"/>
  <c r="P41" i="11" a="1"/>
  <c r="P41" i="11" s="1"/>
  <c r="P42" i="11" a="1"/>
  <c r="P42" i="11" s="1"/>
  <c r="P43" i="11" a="1"/>
  <c r="P43" i="11" s="1"/>
  <c r="P44" i="11" a="1"/>
  <c r="P44" i="11" s="1"/>
  <c r="P45" i="11" a="1"/>
  <c r="P45" i="11" s="1"/>
  <c r="P46" i="11" a="1"/>
  <c r="P46" i="11" s="1"/>
  <c r="P47" i="11" a="1"/>
  <c r="P47" i="11" s="1"/>
  <c r="P48" i="11" a="1"/>
  <c r="P48" i="11" s="1"/>
  <c r="P49" i="11" a="1"/>
  <c r="P49" i="11" s="1"/>
  <c r="P50" i="11" a="1"/>
  <c r="P50" i="11" s="1"/>
  <c r="P51" i="11" a="1"/>
  <c r="P51" i="11" s="1"/>
  <c r="P52" i="11" a="1"/>
  <c r="P52" i="11" s="1"/>
  <c r="P53" i="11" a="1"/>
  <c r="P53" i="11" s="1"/>
  <c r="P2" i="11" a="1"/>
  <c r="P2" i="11" s="1"/>
  <c r="P2" i="6" a="1"/>
  <c r="P2" i="6" s="1"/>
  <c r="P3" i="6" a="1"/>
  <c r="P3" i="6" s="1"/>
  <c r="P4" i="6" a="1"/>
  <c r="P4" i="6" s="1"/>
  <c r="P5" i="6" a="1"/>
  <c r="P5" i="6" s="1"/>
  <c r="P6" i="6" a="1"/>
  <c r="P6" i="6" s="1"/>
  <c r="P7" i="6" a="1"/>
  <c r="P7" i="6" s="1"/>
  <c r="P8" i="6" a="1"/>
  <c r="P8" i="6" s="1"/>
  <c r="P9" i="6" a="1"/>
  <c r="P9" i="6" s="1"/>
  <c r="P10" i="6" a="1"/>
  <c r="P10" i="6" s="1"/>
  <c r="P11" i="6" a="1"/>
  <c r="P11" i="6" s="1"/>
  <c r="P12" i="6" a="1"/>
  <c r="P12" i="6" s="1"/>
  <c r="P13" i="6" a="1"/>
  <c r="P13" i="6" s="1"/>
  <c r="P14" i="6" a="1"/>
  <c r="P14" i="6" s="1"/>
  <c r="P15" i="6" a="1"/>
  <c r="P15" i="6" s="1"/>
  <c r="P16" i="6" a="1"/>
  <c r="P16" i="6" s="1"/>
  <c r="P17" i="6" a="1"/>
  <c r="P17" i="6" s="1"/>
  <c r="P18" i="6" a="1"/>
  <c r="P18" i="6" s="1"/>
  <c r="P19" i="6" a="1"/>
  <c r="P19" i="6" s="1"/>
  <c r="P20" i="6" a="1"/>
  <c r="P20" i="6" s="1"/>
  <c r="P21" i="6" a="1"/>
  <c r="P21" i="6" s="1"/>
  <c r="P22" i="6" a="1"/>
  <c r="P22" i="6" s="1"/>
  <c r="P23" i="6" a="1"/>
  <c r="P23" i="6" s="1"/>
  <c r="P24" i="6" a="1"/>
  <c r="P24" i="6" s="1"/>
  <c r="P25" i="6" a="1"/>
  <c r="P25" i="6" s="1"/>
  <c r="P26" i="6" a="1"/>
  <c r="P26" i="6" s="1"/>
  <c r="P27" i="6" a="1"/>
  <c r="P27" i="6" s="1"/>
  <c r="P28" i="6" a="1"/>
  <c r="P28" i="6" s="1"/>
  <c r="P29" i="6" a="1"/>
  <c r="P29" i="6" s="1"/>
  <c r="P30" i="6" a="1"/>
  <c r="P30" i="6" s="1"/>
  <c r="P31" i="6" a="1"/>
  <c r="P31" i="6" s="1"/>
  <c r="P32" i="6" a="1"/>
  <c r="P32" i="6" s="1"/>
  <c r="P33" i="6" a="1"/>
  <c r="P33" i="6" s="1"/>
  <c r="P34" i="6" a="1"/>
  <c r="P34" i="6" s="1"/>
  <c r="P35" i="6" a="1"/>
  <c r="P35" i="6" s="1"/>
  <c r="P36" i="6" a="1"/>
  <c r="P36" i="6" s="1"/>
  <c r="P37" i="6" a="1"/>
  <c r="P37" i="6" s="1"/>
  <c r="P38" i="6" a="1"/>
  <c r="P38" i="6" s="1"/>
  <c r="P39" i="6" a="1"/>
  <c r="P39" i="6" s="1"/>
  <c r="P40" i="6" a="1"/>
  <c r="P40" i="6" s="1"/>
  <c r="P41" i="6" a="1"/>
  <c r="P41" i="6" s="1"/>
  <c r="P42" i="6" a="1"/>
  <c r="P42" i="6" s="1"/>
  <c r="P43" i="6" a="1"/>
  <c r="P43" i="6" s="1"/>
  <c r="P44" i="6" a="1"/>
  <c r="P44" i="6" s="1"/>
  <c r="P45" i="6" a="1"/>
  <c r="P45" i="6" s="1"/>
  <c r="P46" i="6" a="1"/>
  <c r="P46" i="6" s="1"/>
  <c r="P47" i="6" a="1"/>
  <c r="P47" i="6" s="1"/>
  <c r="P48" i="6" a="1"/>
  <c r="P48" i="6" s="1"/>
  <c r="P49" i="6" a="1"/>
  <c r="P49" i="6" s="1"/>
  <c r="P50" i="6" a="1"/>
  <c r="P50" i="6" s="1"/>
  <c r="P51" i="6" a="1"/>
  <c r="P51" i="6" s="1"/>
  <c r="P52" i="6" a="1"/>
  <c r="P52" i="6" s="1"/>
  <c r="P53" i="6" a="1"/>
  <c r="P53" i="6" s="1"/>
  <c r="P54" i="6" a="1"/>
  <c r="P54" i="6" s="1"/>
  <c r="P55" i="6" a="1"/>
  <c r="P55" i="6" s="1"/>
  <c r="P56" i="6" a="1"/>
  <c r="P56" i="6" s="1"/>
  <c r="P57" i="6" a="1"/>
  <c r="P57" i="6" s="1"/>
  <c r="P58" i="6" a="1"/>
  <c r="P58" i="6" s="1"/>
  <c r="P59" i="6" a="1"/>
  <c r="P59" i="6" s="1"/>
  <c r="P60" i="6" a="1"/>
  <c r="P60" i="6" s="1"/>
  <c r="P61" i="6" a="1"/>
  <c r="P61" i="6" s="1"/>
  <c r="P62" i="6" a="1"/>
  <c r="P62" i="6" s="1"/>
  <c r="P63" i="6" a="1"/>
  <c r="P63" i="6" s="1"/>
  <c r="P64" i="6" a="1"/>
  <c r="P64" i="6" s="1"/>
  <c r="P65" i="6" a="1"/>
  <c r="P65" i="6" s="1"/>
  <c r="P66" i="6" a="1"/>
  <c r="P66" i="6" s="1"/>
  <c r="P67" i="6" a="1"/>
  <c r="P67" i="6" s="1"/>
  <c r="P68" i="6" a="1"/>
  <c r="P68" i="6" s="1"/>
  <c r="P69" i="6" a="1"/>
  <c r="P69" i="6" s="1"/>
  <c r="P70" i="6" a="1"/>
  <c r="P70" i="6" s="1"/>
  <c r="P71" i="6" a="1"/>
  <c r="P71" i="6" s="1"/>
  <c r="P72" i="6" a="1"/>
  <c r="P72" i="6" s="1"/>
  <c r="P73" i="6" a="1"/>
  <c r="P73" i="6" s="1"/>
  <c r="P74" i="6" a="1"/>
  <c r="P74" i="6" s="1"/>
  <c r="P75" i="6" a="1"/>
  <c r="P75" i="6" s="1"/>
  <c r="P76" i="6" a="1"/>
  <c r="P76" i="6" s="1"/>
  <c r="P77" i="6" a="1"/>
  <c r="P77" i="6" s="1"/>
  <c r="P78" i="6" a="1"/>
  <c r="P78" i="6" s="1"/>
  <c r="P79" i="6" a="1"/>
  <c r="P79" i="6" s="1"/>
  <c r="P80" i="6" a="1"/>
  <c r="P80" i="6" s="1"/>
  <c r="P81" i="6" a="1"/>
  <c r="P81" i="6" s="1"/>
  <c r="P82" i="6" a="1"/>
  <c r="P82" i="6" s="1"/>
  <c r="P83" i="6" a="1"/>
  <c r="P83" i="6" s="1"/>
  <c r="P84" i="6" a="1"/>
  <c r="P84" i="6" s="1"/>
  <c r="P85" i="6" a="1"/>
  <c r="P85" i="6" s="1"/>
  <c r="P86" i="6" a="1"/>
  <c r="P86" i="6" s="1"/>
  <c r="P87" i="6" a="1"/>
  <c r="P87" i="6" s="1"/>
  <c r="P88" i="6" a="1"/>
  <c r="P88" i="6" s="1"/>
  <c r="P89" i="6" a="1"/>
  <c r="P89" i="6" s="1"/>
  <c r="P90" i="6" a="1"/>
  <c r="P90" i="6" s="1"/>
  <c r="P91" i="6" a="1"/>
  <c r="P91" i="6" s="1"/>
  <c r="P92" i="6" a="1"/>
  <c r="P92" i="6" s="1"/>
  <c r="P93" i="6" a="1"/>
  <c r="P93" i="6" s="1"/>
  <c r="P94" i="6" a="1"/>
  <c r="P94" i="6" s="1"/>
  <c r="P95" i="6" a="1"/>
  <c r="P95" i="6" s="1"/>
  <c r="P96" i="6" a="1"/>
  <c r="P96" i="6" s="1"/>
  <c r="P97" i="6" a="1"/>
  <c r="P97" i="6" s="1"/>
  <c r="P98" i="6" a="1"/>
  <c r="P98" i="6" s="1"/>
  <c r="P99" i="6" a="1"/>
  <c r="P99" i="6" s="1"/>
  <c r="P100" i="6" a="1"/>
  <c r="P100" i="6" s="1"/>
  <c r="P101" i="6" a="1"/>
  <c r="P101" i="6" s="1"/>
  <c r="P102" i="6" a="1"/>
  <c r="P102" i="6" s="1"/>
  <c r="P103" i="6" a="1"/>
  <c r="P103" i="6" s="1"/>
  <c r="P104" i="6" a="1"/>
  <c r="P104" i="6" s="1"/>
  <c r="P105" i="6" a="1"/>
  <c r="P105" i="6" s="1"/>
  <c r="P106" i="6" a="1"/>
  <c r="P106" i="6" s="1"/>
  <c r="P107" i="6" a="1"/>
  <c r="P107" i="6" s="1"/>
  <c r="P108" i="6" a="1"/>
  <c r="P108" i="6" s="1"/>
  <c r="P109" i="6" a="1"/>
  <c r="P109" i="6" s="1"/>
  <c r="P110" i="6" a="1"/>
  <c r="P110" i="6" s="1"/>
  <c r="P111" i="6" a="1"/>
  <c r="P111" i="6" s="1"/>
  <c r="P112" i="6" a="1"/>
  <c r="P112" i="6" s="1"/>
  <c r="P113" i="6" a="1"/>
  <c r="P113" i="6" s="1"/>
  <c r="P114" i="6" a="1"/>
  <c r="P114" i="6" s="1"/>
  <c r="P115" i="6" a="1"/>
  <c r="P115" i="6" s="1"/>
  <c r="P116" i="6" a="1"/>
  <c r="P116" i="6" s="1"/>
  <c r="P117" i="6" a="1"/>
  <c r="P117" i="6" s="1"/>
  <c r="P118" i="6" a="1"/>
  <c r="P118" i="6" s="1"/>
  <c r="P119" i="6" a="1"/>
  <c r="P119" i="6" s="1"/>
  <c r="P120" i="6" a="1"/>
  <c r="P120" i="6" s="1"/>
  <c r="P121" i="6" a="1"/>
  <c r="P121" i="6" s="1"/>
  <c r="P122" i="6" a="1"/>
  <c r="P122" i="6" s="1"/>
  <c r="P123" i="6" a="1"/>
  <c r="P123" i="6" s="1"/>
  <c r="P124" i="6" a="1"/>
  <c r="P124" i="6" s="1"/>
  <c r="P125" i="6" a="1"/>
  <c r="P125" i="6" s="1"/>
  <c r="P126" i="6" a="1"/>
  <c r="P126" i="6" s="1"/>
  <c r="P127" i="6" a="1"/>
  <c r="P127" i="6" s="1"/>
  <c r="X10" i="6" a="1"/>
  <c r="X10" i="6" s="1"/>
  <c r="X11" i="6" a="1"/>
  <c r="X11" i="6" s="1"/>
  <c r="X12" i="6" a="1"/>
  <c r="X12" i="6" s="1"/>
  <c r="X13" i="6" a="1"/>
  <c r="X13" i="6" s="1"/>
  <c r="X14" i="6" a="1"/>
  <c r="X14" i="6" s="1"/>
  <c r="X15" i="6" a="1"/>
  <c r="X15" i="6" s="1"/>
  <c r="X16" i="6" a="1"/>
  <c r="X16" i="6" s="1"/>
  <c r="X17" i="6" a="1"/>
  <c r="X17" i="6" s="1"/>
  <c r="X18" i="6" a="1"/>
  <c r="X18" i="6" s="1"/>
  <c r="X19" i="6" a="1"/>
  <c r="X19" i="6" s="1"/>
  <c r="X20" i="6" a="1"/>
  <c r="X20" i="6"/>
  <c r="X21" i="6" a="1"/>
  <c r="X21" i="6" s="1"/>
  <c r="X22" i="6" a="1"/>
  <c r="X22" i="6" s="1"/>
  <c r="X9" i="6" a="1"/>
  <c r="X9" i="6" s="1"/>
  <c r="O3" i="11" l="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2" i="11"/>
  <c r="O2" i="6"/>
  <c r="O127" i="6" l="1"/>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O6" i="6"/>
  <c r="V28" i="6" s="1"/>
  <c r="O5" i="6"/>
  <c r="O4" i="6"/>
  <c r="O3" i="6"/>
  <c r="U30" i="6" l="1"/>
  <c r="U29" i="6"/>
  <c r="V30" i="6"/>
  <c r="U28" i="6"/>
  <c r="V29" i="6"/>
  <c r="W28" i="6" l="1"/>
  <c r="Q12" i="6" s="1"/>
  <c r="W29" i="6"/>
  <c r="Q3" i="6"/>
  <c r="Q14" i="6"/>
  <c r="Q31" i="6"/>
  <c r="Q88" i="6"/>
  <c r="Q90" i="6"/>
  <c r="Q52" i="6"/>
  <c r="Q28" i="6"/>
  <c r="Q4" i="6"/>
  <c r="Q66" i="6"/>
  <c r="Q17" i="6"/>
  <c r="Q34" i="6"/>
  <c r="Q16" i="6"/>
  <c r="Q94" i="6"/>
  <c r="Q21" i="6"/>
  <c r="Q119" i="6"/>
  <c r="Q19" i="6"/>
  <c r="Q5" i="6"/>
  <c r="Q76" i="6"/>
  <c r="Q51" i="6"/>
  <c r="Q122" i="6"/>
  <c r="Q113" i="6"/>
  <c r="Q106" i="6"/>
  <c r="Q115" i="6"/>
  <c r="Q2" i="6"/>
  <c r="Q65" i="6"/>
  <c r="Q10" i="6"/>
  <c r="Q9" i="6"/>
  <c r="Q35" i="6"/>
  <c r="Q7" i="6"/>
  <c r="Q64" i="6"/>
  <c r="Q83" i="6"/>
  <c r="Q27" i="6"/>
  <c r="Q6" i="6"/>
  <c r="Q89" i="6"/>
  <c r="Q56" i="6"/>
  <c r="Q123" i="6"/>
  <c r="Q70" i="6"/>
  <c r="Q39" i="6"/>
  <c r="Q101" i="6"/>
  <c r="Q74" i="6"/>
  <c r="Q79" i="6"/>
  <c r="Q62" i="6"/>
  <c r="Q23" i="6"/>
  <c r="Q105" i="6"/>
  <c r="Q71" i="6"/>
  <c r="Q18" i="6"/>
  <c r="Q81" i="6"/>
  <c r="Q11" i="6"/>
  <c r="Q15" i="6"/>
  <c r="Q91" i="6"/>
  <c r="Q116" i="6"/>
  <c r="V37" i="6"/>
  <c r="Q40" i="6" l="1"/>
  <c r="Q95" i="6"/>
  <c r="Q30" i="6"/>
  <c r="R30" i="6" s="1"/>
  <c r="Q50" i="6"/>
  <c r="S50" i="6" s="1"/>
  <c r="Q77" i="6"/>
  <c r="R77" i="6" s="1"/>
  <c r="Q42" i="6"/>
  <c r="R42" i="6" s="1"/>
  <c r="Q63" i="6"/>
  <c r="S63" i="6" s="1"/>
  <c r="Q33" i="6"/>
  <c r="R33" i="6" s="1"/>
  <c r="Q86" i="6"/>
  <c r="R86" i="6" s="1"/>
  <c r="Q114" i="6"/>
  <c r="R114" i="6" s="1"/>
  <c r="Q20" i="6"/>
  <c r="R20" i="6" s="1"/>
  <c r="Q22" i="6"/>
  <c r="S22" i="6" s="1"/>
  <c r="Q26" i="6"/>
  <c r="S26" i="6" s="1"/>
  <c r="Q59" i="6"/>
  <c r="S59" i="6" s="1"/>
  <c r="Q103" i="6"/>
  <c r="R103" i="6" s="1"/>
  <c r="Q47" i="6"/>
  <c r="S47" i="6" s="1"/>
  <c r="Q32" i="6"/>
  <c r="R32" i="6" s="1"/>
  <c r="Q38" i="6"/>
  <c r="S38" i="6" s="1"/>
  <c r="Q107" i="6"/>
  <c r="S107" i="6" s="1"/>
  <c r="Q37" i="6"/>
  <c r="S37" i="6" s="1"/>
  <c r="Q24" i="6"/>
  <c r="R24" i="6" s="1"/>
  <c r="Q100" i="6"/>
  <c r="S100" i="6" s="1"/>
  <c r="Q29" i="6"/>
  <c r="R29" i="6" s="1"/>
  <c r="Q80" i="6"/>
  <c r="S80" i="6" s="1"/>
  <c r="Q78" i="6"/>
  <c r="R78" i="6" s="1"/>
  <c r="Q43" i="6"/>
  <c r="S43" i="6" s="1"/>
  <c r="Q8" i="6"/>
  <c r="R8" i="6" s="1"/>
  <c r="Q45" i="6"/>
  <c r="S45" i="6" s="1"/>
  <c r="Q112" i="6"/>
  <c r="R112" i="6" s="1"/>
  <c r="Q68" i="6"/>
  <c r="S68" i="6" s="1"/>
  <c r="Q93" i="6"/>
  <c r="R93" i="6" s="1"/>
  <c r="Q69" i="6"/>
  <c r="R69" i="6" s="1"/>
  <c r="Q85" i="6"/>
  <c r="S85" i="6" s="1"/>
  <c r="Q82" i="6"/>
  <c r="S82" i="6" s="1"/>
  <c r="Q110" i="6"/>
  <c r="S110" i="6" s="1"/>
  <c r="Q54" i="6"/>
  <c r="R54" i="6" s="1"/>
  <c r="Q87" i="6"/>
  <c r="R87" i="6" s="1"/>
  <c r="Q118" i="6"/>
  <c r="R118" i="6" s="1"/>
  <c r="Q44" i="6"/>
  <c r="S44" i="6" s="1"/>
  <c r="Q121" i="6"/>
  <c r="R121" i="6" s="1"/>
  <c r="Q98" i="6"/>
  <c r="R98" i="6" s="1"/>
  <c r="Q99" i="6"/>
  <c r="R99" i="6" s="1"/>
  <c r="Q102" i="6"/>
  <c r="R102" i="6" s="1"/>
  <c r="Q41" i="6"/>
  <c r="R41" i="6" s="1"/>
  <c r="Q117" i="6"/>
  <c r="S117" i="6" s="1"/>
  <c r="Q55" i="6"/>
  <c r="R55" i="6" s="1"/>
  <c r="Q13" i="6"/>
  <c r="S13" i="6" s="1"/>
  <c r="Q57" i="6"/>
  <c r="S57" i="6" s="1"/>
  <c r="Q96" i="6"/>
  <c r="S96" i="6" s="1"/>
  <c r="Q58" i="6"/>
  <c r="R58" i="6" s="1"/>
  <c r="Q127" i="6"/>
  <c r="R127" i="6" s="1"/>
  <c r="Q75" i="6"/>
  <c r="R75" i="6" s="1"/>
  <c r="Q92" i="6"/>
  <c r="S92" i="6" s="1"/>
  <c r="Q46" i="6"/>
  <c r="S46" i="6" s="1"/>
  <c r="Q104" i="6"/>
  <c r="R104" i="6" s="1"/>
  <c r="Q125" i="6"/>
  <c r="S125" i="6" s="1"/>
  <c r="Q111" i="6"/>
  <c r="R111" i="6" s="1"/>
  <c r="Q124" i="6"/>
  <c r="S124" i="6" s="1"/>
  <c r="Q25" i="6"/>
  <c r="R25" i="6" s="1"/>
  <c r="Q53" i="6"/>
  <c r="R53" i="6" s="1"/>
  <c r="Q73" i="6"/>
  <c r="R73" i="6" s="1"/>
  <c r="Q126" i="6"/>
  <c r="R126" i="6" s="1"/>
  <c r="Q72" i="6"/>
  <c r="S72" i="6" s="1"/>
  <c r="Q97" i="6"/>
  <c r="S97" i="6" s="1"/>
  <c r="Q36" i="6"/>
  <c r="R36" i="6" s="1"/>
  <c r="Q48" i="6"/>
  <c r="S48" i="6" s="1"/>
  <c r="Q84" i="6"/>
  <c r="S84" i="6" s="1"/>
  <c r="Q60" i="6"/>
  <c r="S60" i="6" s="1"/>
  <c r="Q120" i="6"/>
  <c r="S120" i="6" s="1"/>
  <c r="Q61" i="6"/>
  <c r="S61" i="6" s="1"/>
  <c r="Q109" i="6"/>
  <c r="S109" i="6" s="1"/>
  <c r="Q108" i="6"/>
  <c r="R108" i="6" s="1"/>
  <c r="Q67" i="6"/>
  <c r="S67" i="6" s="1"/>
  <c r="Q49" i="6"/>
  <c r="R49" i="6" s="1"/>
  <c r="S95" i="6"/>
  <c r="R95" i="6"/>
  <c r="S116" i="6"/>
  <c r="R116" i="6"/>
  <c r="R65" i="6"/>
  <c r="S65" i="6"/>
  <c r="R90" i="6"/>
  <c r="S90" i="6"/>
  <c r="R39" i="6"/>
  <c r="S39" i="6"/>
  <c r="S71" i="6"/>
  <c r="R71" i="6"/>
  <c r="S64" i="6"/>
  <c r="R64" i="6"/>
  <c r="S83" i="6"/>
  <c r="R83" i="6"/>
  <c r="S28" i="6"/>
  <c r="R28" i="6"/>
  <c r="R21" i="6"/>
  <c r="S21" i="6"/>
  <c r="R7" i="6"/>
  <c r="S7" i="6"/>
  <c r="R18" i="6"/>
  <c r="S18" i="6"/>
  <c r="R5" i="6"/>
  <c r="S5" i="6"/>
  <c r="S16" i="6"/>
  <c r="R16" i="6"/>
  <c r="S27" i="6"/>
  <c r="R27" i="6"/>
  <c r="R91" i="6"/>
  <c r="S91" i="6"/>
  <c r="R89" i="6"/>
  <c r="S89" i="6"/>
  <c r="S119" i="6"/>
  <c r="R119" i="6"/>
  <c r="R31" i="6"/>
  <c r="S31" i="6"/>
  <c r="S62" i="6"/>
  <c r="R62" i="6"/>
  <c r="R17" i="6"/>
  <c r="S17" i="6"/>
  <c r="R6" i="6"/>
  <c r="S6" i="6"/>
  <c r="S4" i="6"/>
  <c r="R4" i="6"/>
  <c r="R15" i="6"/>
  <c r="S15" i="6"/>
  <c r="R122" i="6"/>
  <c r="S122" i="6"/>
  <c r="R34" i="6"/>
  <c r="S34" i="6"/>
  <c r="S52" i="6"/>
  <c r="R52" i="6"/>
  <c r="R10" i="6"/>
  <c r="S10" i="6"/>
  <c r="R19" i="6"/>
  <c r="S19" i="6"/>
  <c r="R106" i="6"/>
  <c r="S106" i="6"/>
  <c r="R56" i="6"/>
  <c r="S56" i="6"/>
  <c r="S3" i="6"/>
  <c r="R3" i="6"/>
  <c r="S14" i="6"/>
  <c r="R14" i="6"/>
  <c r="S35" i="6"/>
  <c r="R35" i="6"/>
  <c r="R70" i="6"/>
  <c r="S70" i="6"/>
  <c r="S88" i="6"/>
  <c r="R88" i="6"/>
  <c r="R74" i="6"/>
  <c r="S74" i="6"/>
  <c r="S51" i="6"/>
  <c r="R51" i="6"/>
  <c r="R105" i="6"/>
  <c r="S105" i="6"/>
  <c r="R115" i="6"/>
  <c r="S115" i="6"/>
  <c r="R113" i="6"/>
  <c r="S113" i="6"/>
  <c r="R81" i="6"/>
  <c r="S81" i="6"/>
  <c r="S12" i="6"/>
  <c r="R12" i="6"/>
  <c r="S23" i="6"/>
  <c r="R23" i="6"/>
  <c r="R79" i="6"/>
  <c r="S79" i="6"/>
  <c r="S76" i="6"/>
  <c r="R76" i="6"/>
  <c r="R66" i="6"/>
  <c r="S66" i="6"/>
  <c r="R2" i="6"/>
  <c r="S2" i="6"/>
  <c r="S40" i="6"/>
  <c r="R40" i="6"/>
  <c r="R94" i="6"/>
  <c r="S94" i="6"/>
  <c r="S103" i="6"/>
  <c r="R101" i="6"/>
  <c r="S101" i="6"/>
  <c r="S123" i="6"/>
  <c r="R123" i="6"/>
  <c r="S9" i="6"/>
  <c r="R9" i="6"/>
  <c r="S11" i="6"/>
  <c r="R11" i="6"/>
  <c r="S30" i="6" l="1"/>
  <c r="S33" i="6"/>
  <c r="S77" i="6"/>
  <c r="R63" i="6"/>
  <c r="S114" i="6"/>
  <c r="S86" i="6"/>
  <c r="R50" i="6"/>
  <c r="S42" i="6"/>
  <c r="S20" i="6"/>
  <c r="R22" i="6"/>
  <c r="R26" i="6"/>
  <c r="R59" i="6"/>
  <c r="R37" i="6"/>
  <c r="S32" i="6"/>
  <c r="R38" i="6"/>
  <c r="R107" i="6"/>
  <c r="R47" i="6"/>
  <c r="S24" i="6"/>
  <c r="R100" i="6"/>
  <c r="R43" i="6"/>
  <c r="S8" i="6"/>
  <c r="S29" i="6"/>
  <c r="R80" i="6"/>
  <c r="S112" i="6"/>
  <c r="R45" i="6"/>
  <c r="S78" i="6"/>
  <c r="R68" i="6"/>
  <c r="R117" i="6"/>
  <c r="R110" i="6"/>
  <c r="R57" i="6"/>
  <c r="R13" i="6"/>
  <c r="R82" i="6"/>
  <c r="S93" i="6"/>
  <c r="S54" i="6"/>
  <c r="R85" i="6"/>
  <c r="S69" i="6"/>
  <c r="S87" i="6"/>
  <c r="S41" i="6"/>
  <c r="S118" i="6"/>
  <c r="S98" i="6"/>
  <c r="S99" i="6"/>
  <c r="S121" i="6"/>
  <c r="R44" i="6"/>
  <c r="S102" i="6"/>
  <c r="S58" i="6"/>
  <c r="R96" i="6"/>
  <c r="S55" i="6"/>
  <c r="S127" i="6"/>
  <c r="S75" i="6"/>
  <c r="R46" i="6"/>
  <c r="R92" i="6"/>
  <c r="S104" i="6"/>
  <c r="R124" i="6"/>
  <c r="S111" i="6"/>
  <c r="R125" i="6"/>
  <c r="S53" i="6"/>
  <c r="S25" i="6"/>
  <c r="S126" i="6"/>
  <c r="R72" i="6"/>
  <c r="R48" i="6"/>
  <c r="S73" i="6"/>
  <c r="R97" i="6"/>
  <c r="R84" i="6"/>
  <c r="S36" i="6"/>
  <c r="R120" i="6"/>
  <c r="R60" i="6"/>
  <c r="R109" i="6"/>
  <c r="R61" i="6"/>
  <c r="R67" i="6"/>
  <c r="S108" i="6"/>
  <c r="S49" i="6"/>
  <c r="W34" i="6" l="1"/>
  <c r="W35" i="6" s="1"/>
  <c r="V38" i="6"/>
  <c r="V39"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wine2" description="Connection to the 'wine2' query in the workbook." type="5" refreshedVersion="6" background="1">
    <dbPr connection="Provider=Microsoft.Mashup.OleDb.1;Data Source=$Workbook$;Location=wine2;Extended Properties=&quot;&quot;" command="SELECT * FROM [wine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<sst xmlns="http://schemas.openxmlformats.org/spreadsheetml/2006/main" count="266" uniqueCount="48">
  <si>
    <t>Vendor</t>
  </si>
  <si>
    <t>C1</t>
  </si>
  <si>
    <t>C2</t>
  </si>
  <si>
    <t>C3</t>
  </si>
  <si>
    <t>C4</t>
  </si>
  <si>
    <t>C5</t>
  </si>
  <si>
    <t>C6</t>
  </si>
  <si>
    <t>C7</t>
  </si>
  <si>
    <t>C8</t>
  </si>
  <si>
    <t>C9</t>
  </si>
  <si>
    <t>C10</t>
  </si>
  <si>
    <t>C11</t>
  </si>
  <si>
    <t>C12</t>
  </si>
  <si>
    <t>C13</t>
  </si>
  <si>
    <t>V1</t>
  </si>
  <si>
    <t>V2</t>
  </si>
  <si>
    <t>V3</t>
  </si>
  <si>
    <t>Y</t>
  </si>
  <si>
    <t>b</t>
  </si>
  <si>
    <t>w1</t>
  </si>
  <si>
    <t>w2</t>
  </si>
  <si>
    <t>w3</t>
  </si>
  <si>
    <t>w4</t>
  </si>
  <si>
    <t>w5</t>
  </si>
  <si>
    <t>w6</t>
  </si>
  <si>
    <t>w7</t>
  </si>
  <si>
    <t>w8</t>
  </si>
  <si>
    <t>w9</t>
  </si>
  <si>
    <t>w10</t>
  </si>
  <si>
    <t>w11</t>
  </si>
  <si>
    <t>w12</t>
  </si>
  <si>
    <t>w13</t>
  </si>
  <si>
    <t>mean</t>
  </si>
  <si>
    <t>sample number</t>
  </si>
  <si>
    <t>cutoff</t>
  </si>
  <si>
    <t>Numerical Classification</t>
  </si>
  <si>
    <t>New Vendor Classification</t>
  </si>
  <si>
    <t>Difference</t>
  </si>
  <si>
    <t>Inter-group variance</t>
  </si>
  <si>
    <t>Within-group variance</t>
  </si>
  <si>
    <t>inter/within ratio</t>
  </si>
  <si>
    <t>Within-g varience</t>
  </si>
  <si>
    <t>Obtained by LINEST</t>
  </si>
  <si>
    <t>This is used</t>
  </si>
  <si>
    <t xml:space="preserve">Residual Difference = </t>
  </si>
  <si>
    <t xml:space="preserve">Cross-validation Accuracy = </t>
  </si>
  <si>
    <t xml:space="preserve">Residual analysis accuracy = </t>
  </si>
  <si>
    <t>Missed in cross-validation=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</si>
</sst>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5">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0"/>
      <color theme="1"/>
      <name val="Arial Unicode MS"/>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0" fillId="2" borderId="0" xfId="0" applyFill="1"/>
    <xf numFmtId="164" fontId="0" fillId="0" borderId="0" xfId="0" applyNumberFormat="1"/>
    <xf numFmtId="0" fontId="0" fillId="0" borderId="0" xfId="0" applyFill="1"/>
    <xf numFmtId="0" fontId="1" fillId="0" borderId="0" xfId="0" applyFont="1" applyFill="1" applyAlignment="1"/>
    <xf numFmtId="0" fontId="0" fillId="0" borderId="0" xfId="0" applyFill="1" applyAlignment="1"/>
    <xf numFmtId="0" fontId="3" fillId="3" borderId="0" xfId="0" applyFont="1" applyFill="1"/>
    <xf numFmtId="10" fontId="3" fillId="3" borderId="0" xfId="1" applyNumberFormat="1" applyFont="1" applyFill="1"/>
    <xf numFmtId="0" fontId="0" fillId="2" borderId="0" xfId="0" applyFill="1" applyAlignment="1">
      <alignment horizontal="center"/>
    </xf>
    <xf numFmtId="0" fontId="4" fillId="0" borderId="0" xfId="0" applyFont="1" applyAlignment="1">
      <alignment vertical="center"/>
    </xf>
  </cellXfs>
  <cellStyles count="2">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26</xdr:col>
      <xdr:colOff>0</xdr:colOff>
      <xdr:row>1</xdr:row>
      <xdr:rowOff>0</xdr:rowOff>
    </xdr:from>
    <xdr:to>
      <xdr:col>32</xdr:col>
      <xdr:colOff>256541</xdr:colOff>
      <xdr:row>11</xdr:row>
      <xdr:rowOff>173590</xdr:rowOff>
    </xdr:to>
    <xdr:sp macro="" textlink="">
      <xdr:nvSpPr>
        <xdr:cNvPr id="9" name="TextBox 8">
          <a:extLst>
            <a:ext uri="{FF2B5EF4-FFF2-40B4-BE49-F238E27FC236}">
              <a16:creationId xmlns:a16="http://schemas.microsoft.com/office/drawing/2014/main" id="{59BDCF3D-9747-C743-A626-9756557AEC99}"/>
            </a:ext>
          </a:extLst>
        </xdr:cNvPr>
        <xdr:cNvSpPr txBox="1"/>
      </xdr:nvSpPr>
      <xdr:spPr>
        <a:xfrm>
          <a:off x="18686124" y="192640"/>
          <a:ext cx="3788282" cy="2099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the Wine data</a:t>
          </a:r>
          <a:r>
            <a:rPr lang="en-US" sz="1100" baseline="0"/>
            <a:t> which we used in the last chapter.</a:t>
          </a:r>
          <a:endParaRPr lang="en-US" sz="1100"/>
        </a:p>
        <a:p>
          <a:r>
            <a:rPr lang="en-US" sz="1100"/>
            <a:t>Based</a:t>
          </a:r>
          <a:r>
            <a:rPr lang="en-US" sz="1100" baseline="0"/>
            <a:t> on 13 chemical concentrations (C1-C13) in each wine production, people can determine the producer (vendor) of the wine. In this assignment, there are 178 wines, their vendors and chemical concentrations are known. Your job is to use LDA method to obtain a model (note, please do use LINEST and Excel Solver), and then based on the model, determine the vendors of the three samples in rows 182-184.</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190501</xdr:colOff>
      <xdr:row>1</xdr:row>
      <xdr:rowOff>114300</xdr:rowOff>
    </xdr:from>
    <xdr:to>
      <xdr:col>10</xdr:col>
      <xdr:colOff>209551</xdr:colOff>
      <xdr:row>8</xdr:row>
      <xdr:rowOff>152400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00101" y="304800"/>
          <a:ext cx="550545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Downloaded</a:t>
          </a:r>
          <a:r>
            <a:rPr lang="en-US" sz="1100" baseline="0"/>
            <a:t> from https://archive.ics.uci.edu/dataset/109/wine.</a:t>
          </a:r>
          <a:endParaRPr lang="en-US" sz="1100"/>
        </a:p>
        <a:p>
          <a:endParaRPr lang="en-US" sz="1100"/>
        </a:p>
        <a:p>
          <a:r>
            <a:rPr lang="en-US" sz="1100" b="0" i="0">
              <a:solidFill>
                <a:schemeClr val="dk1"/>
              </a:solidFill>
              <a:effectLst/>
              <a:latin typeface="+mn-lt"/>
              <a:ea typeface="+mn-ea"/>
              <a:cs typeface="+mn-cs"/>
            </a:rPr>
            <a:t>Reference:</a:t>
          </a:r>
        </a:p>
        <a:p>
          <a:r>
            <a:rPr lang="en-US" sz="1100" b="0" i="0">
              <a:solidFill>
                <a:schemeClr val="dk1"/>
              </a:solidFill>
              <a:effectLst/>
              <a:latin typeface="+mn-lt"/>
              <a:ea typeface="+mn-ea"/>
              <a:cs typeface="+mn-cs"/>
            </a:rPr>
            <a:t> </a:t>
          </a:r>
        </a:p>
        <a:p>
          <a:r>
            <a:rPr lang="en-US"/>
            <a:t>Aeberhard,Stefan and Forina,M.. (1991). Wine. UCI Machine Learning Repository. https://doi.org/10.24432/C5PC7J.</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9"/>
  <sheetViews>
    <sheetView zoomScale="85" zoomScaleNormal="85" workbookViewId="0">
      <selection activeCell="Q2" sqref="Q2:R2"/>
    </sheetView>
  </sheetViews>
  <sheetFormatPr defaultColWidth="8.85546875" defaultRowHeight="15"/>
  <cols>
    <col min="1" max="1" width="9.42578125" customWidth="1"/>
    <col min="16" max="16" width="19.42578125" bestFit="1" customWidth="1"/>
    <col min="17" max="17" width="28.7109375" customWidth="1"/>
    <col min="18" max="18" width="21" customWidth="1"/>
    <col min="19" max="19" width="19.7109375" customWidth="1"/>
    <col min="21" max="21" width="26" customWidth="1"/>
    <col min="22" max="22" width="12.85546875" bestFit="1" customWidth="1"/>
    <col min="23" max="23" width="13.85546875" bestFit="1" customWidth="1"/>
    <col min="24" max="24" width="11.85546875" customWidth="1"/>
  </cols>
  <sheetData>
    <row r="1" spans="1:24">
      <c r="A1" t="s">
        <v>0</v>
      </c>
      <c r="B1" t="s">
        <v>1</v>
      </c>
      <c r="C1" t="s">
        <v>2</v>
      </c>
      <c r="D1" t="s">
        <v>3</v>
      </c>
      <c r="E1" t="s">
        <v>4</v>
      </c>
      <c r="F1" t="s">
        <v>5</v>
      </c>
      <c r="G1" t="s">
        <v>6</v>
      </c>
      <c r="H1" t="s">
        <v>7</v>
      </c>
      <c r="I1" t="s">
        <v>8</v>
      </c>
      <c r="J1" t="s">
        <v>9</v>
      </c>
      <c r="K1" t="s">
        <v>10</v>
      </c>
      <c r="L1" t="s">
        <v>11</v>
      </c>
      <c r="M1" t="s">
        <v>12</v>
      </c>
      <c r="N1" t="s">
        <v>13</v>
      </c>
      <c r="O1" t="s">
        <v>17</v>
      </c>
      <c r="P1" t="s">
        <v>35</v>
      </c>
      <c r="Q1" t="s">
        <v>36</v>
      </c>
      <c r="R1" t="s">
        <v>37</v>
      </c>
      <c r="S1" t="s">
        <v>41</v>
      </c>
    </row>
    <row r="2" spans="1:24">
      <c r="A2" t="s">
        <v>14</v>
      </c>
      <c r="B2">
        <v>13.24</v>
      </c>
      <c r="C2">
        <v>2.59</v>
      </c>
      <c r="D2">
        <v>2.87</v>
      </c>
      <c r="E2">
        <v>21</v>
      </c>
      <c r="F2">
        <v>118</v>
      </c>
      <c r="G2">
        <v>2.8</v>
      </c>
      <c r="H2">
        <v>2.69</v>
      </c>
      <c r="I2">
        <v>0.39</v>
      </c>
      <c r="J2">
        <v>1.82</v>
      </c>
      <c r="K2">
        <v>4.32</v>
      </c>
      <c r="L2">
        <v>1.04</v>
      </c>
      <c r="M2">
        <v>2.93</v>
      </c>
      <c r="N2">
        <v>735</v>
      </c>
      <c r="O2">
        <f t="shared" ref="O2:O33" si="0">IF(A2=V$2,U$2,IF(A2=V$3,U$3,U$4))</f>
        <v>0</v>
      </c>
      <c r="P2" cm="1">
        <f t="array" ref="P2">MMULT(B2:N2,$W$10:$W$22)+$W$9</f>
        <v>-0.69393965950108782</v>
      </c>
      <c r="Q2" t="str">
        <f>IF(P2&lt;$W$28,$V$2,IF(P2&lt;$W$29,$V$3,$V$4))</f>
        <v>V1</v>
      </c>
      <c r="R2">
        <f>IF(A2=Q2,0,1)</f>
        <v>0</v>
      </c>
      <c r="S2" s="9">
        <f>IF(Q2=$V$2,(P2-$U$28)^2,IF(Q2=$V$3,(P2-$U$29)^2,(P2-$U$30)^2))</f>
        <v>5.0918870387815972E-2</v>
      </c>
      <c r="U2">
        <v>0</v>
      </c>
      <c r="V2" t="s">
        <v>14</v>
      </c>
    </row>
    <row r="3" spans="1:24">
      <c r="A3" t="s">
        <v>14</v>
      </c>
      <c r="B3">
        <v>14.2</v>
      </c>
      <c r="C3">
        <v>1.76</v>
      </c>
      <c r="D3">
        <v>2.4500000000000002</v>
      </c>
      <c r="E3">
        <v>15.2</v>
      </c>
      <c r="F3">
        <v>112</v>
      </c>
      <c r="G3">
        <v>3.27</v>
      </c>
      <c r="H3">
        <v>3.39</v>
      </c>
      <c r="I3">
        <v>0.34</v>
      </c>
      <c r="J3">
        <v>1.97</v>
      </c>
      <c r="K3">
        <v>6.75</v>
      </c>
      <c r="L3">
        <v>1.05</v>
      </c>
      <c r="M3">
        <v>2.85</v>
      </c>
      <c r="N3">
        <v>1450</v>
      </c>
      <c r="O3">
        <f t="shared" si="0"/>
        <v>0</v>
      </c>
      <c r="P3" cm="1">
        <f t="array" ref="P3">MMULT(B3:N3,$W$10:$W$22)+$W$9</f>
        <v>-1.1134045958228507</v>
      </c>
      <c r="Q3" t="str">
        <f t="shared" ref="Q3:Q66" si="1">IF(P3&lt;$W$28,$V$2,IF(P3&lt;$W$29,$V$3,$V$4))</f>
        <v>V1</v>
      </c>
      <c r="R3">
        <f t="shared" ref="R3:R66" si="2">IF(A3=Q3,0,1)</f>
        <v>0</v>
      </c>
      <c r="S3" s="9">
        <f t="shared" ref="S3:S66" si="3">IF(Q3=$V$2,(P3-$U$28)^2,IF(Q3=$V$3,(P3-$U$29)^2,(P3-$U$30)^2))</f>
        <v>3.7563415391325877E-2</v>
      </c>
      <c r="U3">
        <v>1</v>
      </c>
      <c r="V3" t="s">
        <v>15</v>
      </c>
    </row>
    <row r="4" spans="1:24">
      <c r="A4" t="s">
        <v>14</v>
      </c>
      <c r="B4">
        <v>14.39</v>
      </c>
      <c r="C4">
        <v>1.87</v>
      </c>
      <c r="D4">
        <v>2.4500000000000002</v>
      </c>
      <c r="E4">
        <v>14.6</v>
      </c>
      <c r="F4">
        <v>96</v>
      </c>
      <c r="G4">
        <v>2.5</v>
      </c>
      <c r="H4">
        <v>2.52</v>
      </c>
      <c r="I4">
        <v>0.3</v>
      </c>
      <c r="J4">
        <v>1.98</v>
      </c>
      <c r="K4">
        <v>5.25</v>
      </c>
      <c r="L4">
        <v>1.02</v>
      </c>
      <c r="M4">
        <v>3.58</v>
      </c>
      <c r="N4">
        <v>1290</v>
      </c>
      <c r="O4">
        <f t="shared" si="0"/>
        <v>0</v>
      </c>
      <c r="P4" cm="1">
        <f t="array" ref="P4">MMULT(B4:N4,$W$10:$W$22)+$W$9</f>
        <v>-0.96225791373760439</v>
      </c>
      <c r="Q4" t="str">
        <f t="shared" si="1"/>
        <v>V1</v>
      </c>
      <c r="R4">
        <f t="shared" si="2"/>
        <v>0</v>
      </c>
      <c r="S4" s="9">
        <f t="shared" si="3"/>
        <v>1.8204006883283175E-3</v>
      </c>
      <c r="U4">
        <v>2</v>
      </c>
      <c r="V4" t="s">
        <v>16</v>
      </c>
    </row>
    <row r="5" spans="1:24">
      <c r="A5" t="s">
        <v>14</v>
      </c>
      <c r="B5">
        <v>14.06</v>
      </c>
      <c r="C5">
        <v>2.15</v>
      </c>
      <c r="D5">
        <v>2.61</v>
      </c>
      <c r="E5">
        <v>17.600000000000001</v>
      </c>
      <c r="F5">
        <v>121</v>
      </c>
      <c r="G5">
        <v>2.6</v>
      </c>
      <c r="H5">
        <v>2.5099999999999998</v>
      </c>
      <c r="I5">
        <v>0.31</v>
      </c>
      <c r="J5">
        <v>1.25</v>
      </c>
      <c r="K5">
        <v>5.05</v>
      </c>
      <c r="L5">
        <v>1.06</v>
      </c>
      <c r="M5">
        <v>3.58</v>
      </c>
      <c r="N5">
        <v>1295</v>
      </c>
      <c r="O5">
        <f t="shared" si="0"/>
        <v>0</v>
      </c>
      <c r="P5" cm="1">
        <f t="array" ref="P5">MMULT(B5:N5,$W$10:$W$22)+$W$9</f>
        <v>-0.95488866618108892</v>
      </c>
      <c r="Q5" t="str">
        <f t="shared" si="1"/>
        <v>V1</v>
      </c>
      <c r="R5">
        <f t="shared" si="2"/>
        <v>0</v>
      </c>
      <c r="S5" s="9">
        <f t="shared" si="3"/>
        <v>1.2458715971806684E-3</v>
      </c>
    </row>
    <row r="6" spans="1:24">
      <c r="A6" t="s">
        <v>14</v>
      </c>
      <c r="B6">
        <v>14.83</v>
      </c>
      <c r="C6">
        <v>1.64</v>
      </c>
      <c r="D6">
        <v>2.17</v>
      </c>
      <c r="E6">
        <v>14</v>
      </c>
      <c r="F6">
        <v>97</v>
      </c>
      <c r="G6">
        <v>2.8</v>
      </c>
      <c r="H6">
        <v>2.98</v>
      </c>
      <c r="I6">
        <v>0.28999999999999998</v>
      </c>
      <c r="J6">
        <v>1.98</v>
      </c>
      <c r="K6">
        <v>5.2</v>
      </c>
      <c r="L6">
        <v>1.08</v>
      </c>
      <c r="M6">
        <v>2.85</v>
      </c>
      <c r="N6">
        <v>1045</v>
      </c>
      <c r="O6">
        <f t="shared" si="0"/>
        <v>0</v>
      </c>
      <c r="P6" cm="1">
        <f t="array" ref="P6">MMULT(B6:N6,$W$10:$W$22)+$W$9</f>
        <v>-0.9376348317130021</v>
      </c>
      <c r="Q6" t="str">
        <f t="shared" si="1"/>
        <v>V1</v>
      </c>
      <c r="R6">
        <f t="shared" si="2"/>
        <v>0</v>
      </c>
      <c r="S6" s="9">
        <f t="shared" si="3"/>
        <v>3.2555244257805922E-4</v>
      </c>
    </row>
    <row r="7" spans="1:24">
      <c r="A7" t="s">
        <v>14</v>
      </c>
      <c r="B7">
        <v>13.86</v>
      </c>
      <c r="C7">
        <v>1.35</v>
      </c>
      <c r="D7">
        <v>2.27</v>
      </c>
      <c r="E7">
        <v>16</v>
      </c>
      <c r="F7">
        <v>98</v>
      </c>
      <c r="G7">
        <v>2.98</v>
      </c>
      <c r="H7">
        <v>3.15</v>
      </c>
      <c r="I7">
        <v>0.22</v>
      </c>
      <c r="J7">
        <v>1.85</v>
      </c>
      <c r="K7">
        <v>7.22</v>
      </c>
      <c r="L7">
        <v>1.01</v>
      </c>
      <c r="M7">
        <v>3.55</v>
      </c>
      <c r="N7">
        <v>1045</v>
      </c>
      <c r="O7">
        <f t="shared" si="0"/>
        <v>0</v>
      </c>
      <c r="P7" cm="1">
        <f t="array" ref="P7">MMULT(B7:N7,$W$10:$W$22)+$W$9</f>
        <v>-1.0225034606067798</v>
      </c>
      <c r="Q7" t="str">
        <f t="shared" si="1"/>
        <v>V1</v>
      </c>
      <c r="R7">
        <f t="shared" si="2"/>
        <v>0</v>
      </c>
      <c r="S7" s="9">
        <f t="shared" si="3"/>
        <v>1.0590818154504402E-2</v>
      </c>
    </row>
    <row r="8" spans="1:24">
      <c r="A8" t="s">
        <v>14</v>
      </c>
      <c r="B8">
        <v>14.1</v>
      </c>
      <c r="C8">
        <v>2.16</v>
      </c>
      <c r="D8">
        <v>2.2999999999999998</v>
      </c>
      <c r="E8">
        <v>18</v>
      </c>
      <c r="F8">
        <v>105</v>
      </c>
      <c r="G8">
        <v>2.95</v>
      </c>
      <c r="H8">
        <v>3.32</v>
      </c>
      <c r="I8">
        <v>0.22</v>
      </c>
      <c r="J8">
        <v>2.38</v>
      </c>
      <c r="K8">
        <v>5.75</v>
      </c>
      <c r="L8">
        <v>1.25</v>
      </c>
      <c r="M8">
        <v>3.17</v>
      </c>
      <c r="N8">
        <v>1510</v>
      </c>
      <c r="O8">
        <f t="shared" si="0"/>
        <v>0</v>
      </c>
      <c r="P8" cm="1">
        <f t="array" ref="P8">MMULT(B8:N8,$W$10:$W$22)+$W$9</f>
        <v>-1.2053637861377053</v>
      </c>
      <c r="Q8" t="str">
        <f t="shared" si="1"/>
        <v>V1</v>
      </c>
      <c r="R8">
        <f t="shared" si="2"/>
        <v>0</v>
      </c>
      <c r="S8" s="9">
        <f t="shared" si="3"/>
        <v>8.1665651013722085E-2</v>
      </c>
      <c r="W8" s="1" t="s">
        <v>43</v>
      </c>
      <c r="X8" t="s">
        <v>42</v>
      </c>
    </row>
    <row r="9" spans="1:24">
      <c r="A9" t="s">
        <v>14</v>
      </c>
      <c r="B9">
        <v>14.12</v>
      </c>
      <c r="C9">
        <v>1.48</v>
      </c>
      <c r="D9">
        <v>2.3199999999999998</v>
      </c>
      <c r="E9">
        <v>16.8</v>
      </c>
      <c r="F9">
        <v>95</v>
      </c>
      <c r="G9">
        <v>2.2000000000000002</v>
      </c>
      <c r="H9">
        <v>2.4300000000000002</v>
      </c>
      <c r="I9">
        <v>0.26</v>
      </c>
      <c r="J9">
        <v>1.57</v>
      </c>
      <c r="K9">
        <v>5</v>
      </c>
      <c r="L9">
        <v>1.17</v>
      </c>
      <c r="M9">
        <v>2.82</v>
      </c>
      <c r="N9">
        <v>1280</v>
      </c>
      <c r="O9">
        <f t="shared" si="0"/>
        <v>0</v>
      </c>
      <c r="P9" cm="1">
        <f t="array" ref="P9">MMULT(B9:N9,$W$10:$W$22)+$W$9</f>
        <v>-0.70302804158275567</v>
      </c>
      <c r="Q9" t="str">
        <f t="shared" si="1"/>
        <v>V1</v>
      </c>
      <c r="R9">
        <f t="shared" si="2"/>
        <v>0</v>
      </c>
      <c r="S9" s="9">
        <f t="shared" si="3"/>
        <v>4.6899844065838324E-2</v>
      </c>
      <c r="U9">
        <v>14</v>
      </c>
      <c r="V9" t="s">
        <v>18</v>
      </c>
      <c r="W9">
        <v>2.7050759617210631</v>
      </c>
      <c r="X9" cm="1">
        <f t="array" ref="X9">INDEX(LINEST($O$2:$O$127,$B$2:$N$127,TRUE,TRUE),1,U9)</f>
        <v>2.7050755646868714</v>
      </c>
    </row>
    <row r="10" spans="1:24">
      <c r="A10" t="s">
        <v>14</v>
      </c>
      <c r="B10">
        <v>14.38</v>
      </c>
      <c r="C10">
        <v>1.87</v>
      </c>
      <c r="D10">
        <v>2.38</v>
      </c>
      <c r="E10">
        <v>12</v>
      </c>
      <c r="F10">
        <v>102</v>
      </c>
      <c r="G10">
        <v>3.3</v>
      </c>
      <c r="H10">
        <v>3.64</v>
      </c>
      <c r="I10">
        <v>0.28999999999999998</v>
      </c>
      <c r="J10">
        <v>2.96</v>
      </c>
      <c r="K10">
        <v>7.5</v>
      </c>
      <c r="L10">
        <v>1.2</v>
      </c>
      <c r="M10">
        <v>3</v>
      </c>
      <c r="N10">
        <v>1547</v>
      </c>
      <c r="O10">
        <f t="shared" si="0"/>
        <v>0</v>
      </c>
      <c r="P10" cm="1">
        <f t="array" ref="P10">MMULT(B10:N10,$W$10:$W$22)+$W$9</f>
        <v>-1.2890018444313558</v>
      </c>
      <c r="Q10" t="str">
        <f t="shared" si="1"/>
        <v>V1</v>
      </c>
      <c r="R10">
        <f t="shared" si="2"/>
        <v>0</v>
      </c>
      <c r="S10" s="9">
        <f t="shared" si="3"/>
        <v>0.13646381059705026</v>
      </c>
      <c r="U10">
        <v>13</v>
      </c>
      <c r="V10" t="s">
        <v>19</v>
      </c>
      <c r="W10">
        <v>-7.2177010767977334E-2</v>
      </c>
      <c r="X10" cm="1">
        <f t="array" ref="X10">INDEX(LINEST($O$2:$O$127,$B$2:$N$127,TRUE,TRUE),1,U10)</f>
        <v>-5.7665385417429153E-2</v>
      </c>
    </row>
    <row r="11" spans="1:24">
      <c r="A11" t="s">
        <v>14</v>
      </c>
      <c r="B11">
        <v>13.63</v>
      </c>
      <c r="C11">
        <v>1.81</v>
      </c>
      <c r="D11">
        <v>2.7</v>
      </c>
      <c r="E11">
        <v>17.2</v>
      </c>
      <c r="F11">
        <v>112</v>
      </c>
      <c r="G11">
        <v>2.85</v>
      </c>
      <c r="H11">
        <v>2.91</v>
      </c>
      <c r="I11">
        <v>0.3</v>
      </c>
      <c r="J11">
        <v>1.46</v>
      </c>
      <c r="K11">
        <v>7.3</v>
      </c>
      <c r="L11">
        <v>1.28</v>
      </c>
      <c r="M11">
        <v>2.88</v>
      </c>
      <c r="N11">
        <v>1310</v>
      </c>
      <c r="O11">
        <f t="shared" si="0"/>
        <v>0</v>
      </c>
      <c r="P11" cm="1">
        <f t="array" ref="P11">MMULT(B11:N11,$W$10:$W$22)+$W$9</f>
        <v>-0.8311443053306431</v>
      </c>
      <c r="Q11" t="str">
        <f t="shared" si="1"/>
        <v>V1</v>
      </c>
      <c r="R11">
        <f t="shared" si="2"/>
        <v>0</v>
      </c>
      <c r="S11" s="9">
        <f t="shared" si="3"/>
        <v>7.8229522093625076E-3</v>
      </c>
      <c r="U11">
        <v>12</v>
      </c>
      <c r="V11" t="s">
        <v>20</v>
      </c>
      <c r="W11">
        <v>2.9766810211033471E-3</v>
      </c>
      <c r="X11" cm="1">
        <f t="array" ref="X11">INDEX(LINEST($O$2:$O$127,$B$2:$N$127,TRUE,TRUE),1,U11)</f>
        <v>3.5312787079097199E-2</v>
      </c>
    </row>
    <row r="12" spans="1:24">
      <c r="A12" t="s">
        <v>14</v>
      </c>
      <c r="B12">
        <v>14.3</v>
      </c>
      <c r="C12">
        <v>1.92</v>
      </c>
      <c r="D12">
        <v>2.72</v>
      </c>
      <c r="E12">
        <v>20</v>
      </c>
      <c r="F12">
        <v>120</v>
      </c>
      <c r="G12">
        <v>2.8</v>
      </c>
      <c r="H12">
        <v>3.14</v>
      </c>
      <c r="I12">
        <v>0.33</v>
      </c>
      <c r="J12">
        <v>1.97</v>
      </c>
      <c r="K12">
        <v>6.2</v>
      </c>
      <c r="L12">
        <v>1.07</v>
      </c>
      <c r="M12">
        <v>2.65</v>
      </c>
      <c r="N12">
        <v>1280</v>
      </c>
      <c r="O12">
        <f t="shared" si="0"/>
        <v>0</v>
      </c>
      <c r="P12" cm="1">
        <f t="array" ref="P12">MMULT(B12:N12,$W$10:$W$22)+$W$9</f>
        <v>-0.95939919133498819</v>
      </c>
      <c r="Q12" t="str">
        <f t="shared" si="1"/>
        <v>V1</v>
      </c>
      <c r="R12">
        <f t="shared" si="2"/>
        <v>0</v>
      </c>
      <c r="S12" s="9">
        <f t="shared" si="3"/>
        <v>1.5846316021481781E-3</v>
      </c>
      <c r="U12">
        <v>11</v>
      </c>
      <c r="V12" t="s">
        <v>21</v>
      </c>
      <c r="W12">
        <v>2.8836583991108503E-2</v>
      </c>
      <c r="X12" cm="1">
        <f t="array" ref="X12">INDEX(LINEST($O$2:$O$127,$B$2:$N$127,TRUE,TRUE),1,U12)</f>
        <v>-0.18079125921983041</v>
      </c>
    </row>
    <row r="13" spans="1:24">
      <c r="A13" t="s">
        <v>14</v>
      </c>
      <c r="B13">
        <v>13.83</v>
      </c>
      <c r="C13">
        <v>1.57</v>
      </c>
      <c r="D13">
        <v>2.62</v>
      </c>
      <c r="E13">
        <v>20</v>
      </c>
      <c r="F13">
        <v>115</v>
      </c>
      <c r="G13">
        <v>2.95</v>
      </c>
      <c r="H13">
        <v>3.4</v>
      </c>
      <c r="I13">
        <v>0.4</v>
      </c>
      <c r="J13">
        <v>1.72</v>
      </c>
      <c r="K13">
        <v>6.6</v>
      </c>
      <c r="L13">
        <v>1.1299999999999999</v>
      </c>
      <c r="M13">
        <v>2.57</v>
      </c>
      <c r="N13">
        <v>1130</v>
      </c>
      <c r="O13">
        <f t="shared" si="0"/>
        <v>0</v>
      </c>
      <c r="P13" cm="1">
        <f t="array" ref="P13">MMULT(B13:N13,$W$10:$W$22)+$W$9</f>
        <v>-1.0420876666516676</v>
      </c>
      <c r="Q13" t="str">
        <f t="shared" si="1"/>
        <v>V1</v>
      </c>
      <c r="R13">
        <f t="shared" si="2"/>
        <v>0</v>
      </c>
      <c r="S13" s="9">
        <f t="shared" si="3"/>
        <v>1.5005247185366586E-2</v>
      </c>
      <c r="U13">
        <v>10</v>
      </c>
      <c r="V13" t="s">
        <v>22</v>
      </c>
      <c r="W13">
        <v>2.3070128464896056E-3</v>
      </c>
      <c r="X13" cm="1">
        <f t="array" ref="X13">INDEX(LINEST($O$2:$O$127,$B$2:$N$127,TRUE,TRUE),1,U13)</f>
        <v>4.5540365187840728E-2</v>
      </c>
    </row>
    <row r="14" spans="1:24">
      <c r="A14" t="s">
        <v>14</v>
      </c>
      <c r="B14">
        <v>13.64</v>
      </c>
      <c r="C14">
        <v>3.1</v>
      </c>
      <c r="D14">
        <v>2.56</v>
      </c>
      <c r="E14">
        <v>15.2</v>
      </c>
      <c r="F14">
        <v>116</v>
      </c>
      <c r="G14">
        <v>2.7</v>
      </c>
      <c r="H14">
        <v>3.03</v>
      </c>
      <c r="I14">
        <v>0.17</v>
      </c>
      <c r="J14">
        <v>1.66</v>
      </c>
      <c r="K14">
        <v>5.0999999999999996</v>
      </c>
      <c r="L14">
        <v>0.96</v>
      </c>
      <c r="M14">
        <v>3.36</v>
      </c>
      <c r="N14">
        <v>845</v>
      </c>
      <c r="O14">
        <f t="shared" si="0"/>
        <v>0</v>
      </c>
      <c r="P14" cm="1">
        <f t="array" ref="P14">MMULT(B14:N14,$W$10:$W$22)+$W$9</f>
        <v>-0.91712719480542804</v>
      </c>
      <c r="Q14" t="str">
        <f t="shared" si="1"/>
        <v>V1</v>
      </c>
      <c r="R14">
        <f t="shared" si="2"/>
        <v>0</v>
      </c>
      <c r="S14" s="9">
        <f t="shared" si="3"/>
        <v>6.074080814587641E-6</v>
      </c>
      <c r="U14">
        <v>9</v>
      </c>
      <c r="V14" t="s">
        <v>23</v>
      </c>
      <c r="W14">
        <v>-9.0331184770945034E-4</v>
      </c>
      <c r="X14" cm="1">
        <f t="array" ref="X14">INDEX(LINEST($O$2:$O$127,$B$2:$N$127,TRUE,TRUE),1,U14)</f>
        <v>-9.1706865569951568E-4</v>
      </c>
    </row>
    <row r="15" spans="1:24">
      <c r="A15" t="s">
        <v>14</v>
      </c>
      <c r="B15">
        <v>12.93</v>
      </c>
      <c r="C15">
        <v>3.8</v>
      </c>
      <c r="D15">
        <v>2.65</v>
      </c>
      <c r="E15">
        <v>18.600000000000001</v>
      </c>
      <c r="F15">
        <v>102</v>
      </c>
      <c r="G15">
        <v>2.41</v>
      </c>
      <c r="H15">
        <v>2.41</v>
      </c>
      <c r="I15">
        <v>0.25</v>
      </c>
      <c r="J15">
        <v>1.98</v>
      </c>
      <c r="K15">
        <v>4.5</v>
      </c>
      <c r="L15">
        <v>1.03</v>
      </c>
      <c r="M15">
        <v>3.52</v>
      </c>
      <c r="N15">
        <v>770</v>
      </c>
      <c r="O15">
        <f t="shared" si="0"/>
        <v>0</v>
      </c>
      <c r="P15" cm="1">
        <f t="array" ref="P15">MMULT(B15:N15,$W$10:$W$22)+$W$9</f>
        <v>-0.65625902761893817</v>
      </c>
      <c r="Q15" t="str">
        <f t="shared" si="1"/>
        <v>V1</v>
      </c>
      <c r="R15">
        <f t="shared" si="2"/>
        <v>0</v>
      </c>
      <c r="S15" s="9">
        <f t="shared" si="3"/>
        <v>6.9344127859538668E-2</v>
      </c>
      <c r="U15">
        <v>8</v>
      </c>
      <c r="V15" t="s">
        <v>24</v>
      </c>
      <c r="W15">
        <v>0.17075234372832165</v>
      </c>
      <c r="X15" cm="1">
        <f t="array" ref="X15">INDEX(LINEST($O$2:$O$127,$B$2:$N$127,TRUE,TRUE),1,U15)</f>
        <v>0.22521868180106347</v>
      </c>
    </row>
    <row r="16" spans="1:24">
      <c r="A16" t="s">
        <v>14</v>
      </c>
      <c r="B16">
        <v>13.71</v>
      </c>
      <c r="C16">
        <v>1.86</v>
      </c>
      <c r="D16">
        <v>2.36</v>
      </c>
      <c r="E16">
        <v>16.600000000000001</v>
      </c>
      <c r="F16">
        <v>101</v>
      </c>
      <c r="G16">
        <v>2.61</v>
      </c>
      <c r="H16">
        <v>2.88</v>
      </c>
      <c r="I16">
        <v>0.27</v>
      </c>
      <c r="J16">
        <v>1.69</v>
      </c>
      <c r="K16">
        <v>3.8</v>
      </c>
      <c r="L16">
        <v>1.1100000000000001</v>
      </c>
      <c r="M16">
        <v>4</v>
      </c>
      <c r="N16">
        <v>1035</v>
      </c>
      <c r="O16">
        <f t="shared" si="0"/>
        <v>0</v>
      </c>
      <c r="P16" cm="1">
        <f t="array" ref="P16">MMULT(B16:N16,$W$10:$W$22)+$W$9</f>
        <v>-1.2345080270013686</v>
      </c>
      <c r="Q16" t="str">
        <f t="shared" si="1"/>
        <v>V1</v>
      </c>
      <c r="R16">
        <f t="shared" si="2"/>
        <v>0</v>
      </c>
      <c r="S16" s="9">
        <f t="shared" si="3"/>
        <v>9.9172255322217628E-2</v>
      </c>
      <c r="U16">
        <v>7</v>
      </c>
      <c r="V16" t="s">
        <v>25</v>
      </c>
      <c r="W16">
        <v>-0.57828360983809823</v>
      </c>
      <c r="X16" cm="1">
        <f t="array" ref="X16">INDEX(LINEST($O$2:$O$127,$B$2:$N$127,TRUE,TRUE),1,U16)</f>
        <v>-0.49193367757692252</v>
      </c>
    </row>
    <row r="17" spans="1:24">
      <c r="A17" t="s">
        <v>14</v>
      </c>
      <c r="B17">
        <v>12.85</v>
      </c>
      <c r="C17">
        <v>1.6</v>
      </c>
      <c r="D17">
        <v>2.52</v>
      </c>
      <c r="E17">
        <v>17.8</v>
      </c>
      <c r="F17">
        <v>95</v>
      </c>
      <c r="G17">
        <v>2.48</v>
      </c>
      <c r="H17">
        <v>2.37</v>
      </c>
      <c r="I17">
        <v>0.26</v>
      </c>
      <c r="J17">
        <v>1.46</v>
      </c>
      <c r="K17">
        <v>3.93</v>
      </c>
      <c r="L17">
        <v>1.0900000000000001</v>
      </c>
      <c r="M17">
        <v>3.63</v>
      </c>
      <c r="N17">
        <v>1015</v>
      </c>
      <c r="O17">
        <f t="shared" si="0"/>
        <v>0</v>
      </c>
      <c r="P17" cm="1">
        <f t="array" ref="P17">MMULT(B17:N17,$W$10:$W$22)+$W$9</f>
        <v>-0.75080112137487109</v>
      </c>
      <c r="Q17" t="str">
        <f t="shared" si="1"/>
        <v>V1</v>
      </c>
      <c r="R17">
        <f t="shared" si="2"/>
        <v>0</v>
      </c>
      <c r="S17" s="9">
        <f t="shared" si="3"/>
        <v>2.8490279633805064E-2</v>
      </c>
      <c r="U17">
        <v>6</v>
      </c>
      <c r="V17" t="s">
        <v>26</v>
      </c>
      <c r="W17">
        <v>-0.72926366889677807</v>
      </c>
      <c r="X17" cm="1">
        <f t="array" ref="X17">INDEX(LINEST($O$2:$O$127,$B$2:$N$127,TRUE,TRUE),1,U17)</f>
        <v>-0.45167744932945325</v>
      </c>
    </row>
    <row r="18" spans="1:24">
      <c r="A18" t="s">
        <v>14</v>
      </c>
      <c r="B18">
        <v>13.5</v>
      </c>
      <c r="C18">
        <v>1.81</v>
      </c>
      <c r="D18">
        <v>2.61</v>
      </c>
      <c r="E18">
        <v>20</v>
      </c>
      <c r="F18">
        <v>96</v>
      </c>
      <c r="G18">
        <v>2.5299999999999998</v>
      </c>
      <c r="H18">
        <v>2.61</v>
      </c>
      <c r="I18">
        <v>0.28000000000000003</v>
      </c>
      <c r="J18">
        <v>1.66</v>
      </c>
      <c r="K18">
        <v>3.52</v>
      </c>
      <c r="L18">
        <v>1.1200000000000001</v>
      </c>
      <c r="M18">
        <v>3.82</v>
      </c>
      <c r="N18">
        <v>845</v>
      </c>
      <c r="O18">
        <f t="shared" si="0"/>
        <v>0</v>
      </c>
      <c r="P18" cm="1">
        <f t="array" ref="P18">MMULT(B18:N18,$W$10:$W$22)+$W$9</f>
        <v>-0.97855308168719723</v>
      </c>
      <c r="Q18" t="str">
        <f t="shared" si="1"/>
        <v>V1</v>
      </c>
      <c r="R18">
        <f t="shared" si="2"/>
        <v>0</v>
      </c>
      <c r="S18" s="9">
        <f t="shared" si="3"/>
        <v>3.4764374738502856E-3</v>
      </c>
      <c r="U18">
        <v>5</v>
      </c>
      <c r="V18" t="s">
        <v>27</v>
      </c>
      <c r="W18">
        <v>9.2338869831749756E-3</v>
      </c>
      <c r="X18" cm="1">
        <f t="array" ref="X18">INDEX(LINEST($O$2:$O$127,$B$2:$N$127,TRUE,TRUE),1,U18)</f>
        <v>5.5979674031326997E-2</v>
      </c>
    </row>
    <row r="19" spans="1:24">
      <c r="A19" t="s">
        <v>14</v>
      </c>
      <c r="B19">
        <v>13.87</v>
      </c>
      <c r="C19">
        <v>1.9</v>
      </c>
      <c r="D19">
        <v>2.8</v>
      </c>
      <c r="E19">
        <v>19.399999999999999</v>
      </c>
      <c r="F19">
        <v>107</v>
      </c>
      <c r="G19">
        <v>2.95</v>
      </c>
      <c r="H19">
        <v>2.97</v>
      </c>
      <c r="I19">
        <v>0.37</v>
      </c>
      <c r="J19">
        <v>1.76</v>
      </c>
      <c r="K19">
        <v>4.5</v>
      </c>
      <c r="L19">
        <v>1.25</v>
      </c>
      <c r="M19">
        <v>3.4</v>
      </c>
      <c r="N19">
        <v>915</v>
      </c>
      <c r="O19">
        <f t="shared" si="0"/>
        <v>0</v>
      </c>
      <c r="P19" cm="1">
        <f t="array" ref="P19">MMULT(B19:N19,$W$10:$W$22)+$W$9</f>
        <v>-1.0794720582471573</v>
      </c>
      <c r="Q19" t="str">
        <f t="shared" si="1"/>
        <v>V1</v>
      </c>
      <c r="R19">
        <f t="shared" si="2"/>
        <v>0</v>
      </c>
      <c r="S19" s="9">
        <f t="shared" si="3"/>
        <v>2.5561709818440363E-2</v>
      </c>
      <c r="U19">
        <v>4</v>
      </c>
      <c r="V19" t="s">
        <v>28</v>
      </c>
      <c r="W19">
        <v>3.5081607621836472E-2</v>
      </c>
      <c r="X19" cm="1">
        <f t="array" ref="X19">INDEX(LINEST($O$2:$O$127,$B$2:$N$127,TRUE,TRUE),1,U19)</f>
        <v>5.7973148109840819E-2</v>
      </c>
    </row>
    <row r="20" spans="1:24">
      <c r="A20" t="s">
        <v>14</v>
      </c>
      <c r="B20">
        <v>13.68</v>
      </c>
      <c r="C20">
        <v>1.83</v>
      </c>
      <c r="D20">
        <v>2.36</v>
      </c>
      <c r="E20">
        <v>17.2</v>
      </c>
      <c r="F20">
        <v>104</v>
      </c>
      <c r="G20">
        <v>2.42</v>
      </c>
      <c r="H20">
        <v>2.69</v>
      </c>
      <c r="I20">
        <v>0.42</v>
      </c>
      <c r="J20">
        <v>1.97</v>
      </c>
      <c r="K20">
        <v>3.84</v>
      </c>
      <c r="L20">
        <v>1.23</v>
      </c>
      <c r="M20">
        <v>2.87</v>
      </c>
      <c r="N20">
        <v>990</v>
      </c>
      <c r="O20">
        <f t="shared" si="0"/>
        <v>0</v>
      </c>
      <c r="P20" cm="1">
        <f t="array" ref="P20">MMULT(B20:N20,$W$10:$W$22)+$W$9</f>
        <v>-0.90843803947252333</v>
      </c>
      <c r="Q20" t="str">
        <f t="shared" si="1"/>
        <v>V1</v>
      </c>
      <c r="R20">
        <f t="shared" si="2"/>
        <v>0</v>
      </c>
      <c r="S20" s="9">
        <f t="shared" si="3"/>
        <v>1.2440547805827912E-4</v>
      </c>
      <c r="U20">
        <v>3</v>
      </c>
      <c r="V20" t="s">
        <v>29</v>
      </c>
      <c r="W20">
        <v>-0.17480792985943303</v>
      </c>
      <c r="X20" cm="1">
        <f t="array" ref="X20">INDEX(LINEST($O$2:$O$127,$B$2:$N$127,TRUE,TRUE),1,U20)</f>
        <v>-3.1328139237696208E-2</v>
      </c>
    </row>
    <row r="21" spans="1:24">
      <c r="A21" t="s">
        <v>14</v>
      </c>
      <c r="B21">
        <v>13.76</v>
      </c>
      <c r="C21">
        <v>1.53</v>
      </c>
      <c r="D21">
        <v>2.7</v>
      </c>
      <c r="E21">
        <v>19.5</v>
      </c>
      <c r="F21">
        <v>132</v>
      </c>
      <c r="G21">
        <v>2.95</v>
      </c>
      <c r="H21">
        <v>2.74</v>
      </c>
      <c r="I21">
        <v>0.5</v>
      </c>
      <c r="J21">
        <v>1.35</v>
      </c>
      <c r="K21">
        <v>5.4</v>
      </c>
      <c r="L21">
        <v>1.25</v>
      </c>
      <c r="M21">
        <v>3</v>
      </c>
      <c r="N21">
        <v>1235</v>
      </c>
      <c r="O21">
        <f t="shared" si="0"/>
        <v>0</v>
      </c>
      <c r="P21" cm="1">
        <f t="array" ref="P21">MMULT(B21:N21,$W$10:$W$22)+$W$9</f>
        <v>-0.96999569585192713</v>
      </c>
      <c r="Q21" t="str">
        <f t="shared" si="1"/>
        <v>V1</v>
      </c>
      <c r="R21">
        <f t="shared" si="2"/>
        <v>0</v>
      </c>
      <c r="S21" s="9">
        <f t="shared" si="3"/>
        <v>2.5405567653931501E-3</v>
      </c>
      <c r="U21">
        <v>2</v>
      </c>
      <c r="V21" t="s">
        <v>30</v>
      </c>
      <c r="W21">
        <v>-0.32284018040975543</v>
      </c>
      <c r="X21" cm="1">
        <f t="array" ref="X21">INDEX(LINEST($O$2:$O$127,$B$2:$N$127,TRUE,TRUE),1,U21)</f>
        <v>-0.28277272537019349</v>
      </c>
    </row>
    <row r="22" spans="1:24">
      <c r="A22" t="s">
        <v>14</v>
      </c>
      <c r="B22">
        <v>13.51</v>
      </c>
      <c r="C22">
        <v>1.8</v>
      </c>
      <c r="D22">
        <v>2.65</v>
      </c>
      <c r="E22">
        <v>19</v>
      </c>
      <c r="F22">
        <v>110</v>
      </c>
      <c r="G22">
        <v>2.35</v>
      </c>
      <c r="H22">
        <v>2.5299999999999998</v>
      </c>
      <c r="I22">
        <v>0.28999999999999998</v>
      </c>
      <c r="J22">
        <v>1.54</v>
      </c>
      <c r="K22">
        <v>4.2</v>
      </c>
      <c r="L22">
        <v>1.1000000000000001</v>
      </c>
      <c r="M22">
        <v>2.87</v>
      </c>
      <c r="N22">
        <v>1095</v>
      </c>
      <c r="O22">
        <f t="shared" si="0"/>
        <v>0</v>
      </c>
      <c r="P22" cm="1">
        <f t="array" ref="P22">MMULT(B22:N22,$W$10:$W$22)+$W$9</f>
        <v>-0.70446764869755585</v>
      </c>
      <c r="Q22" t="str">
        <f t="shared" si="1"/>
        <v>V1</v>
      </c>
      <c r="R22">
        <f t="shared" si="2"/>
        <v>0</v>
      </c>
      <c r="S22" s="9">
        <f t="shared" si="3"/>
        <v>4.6278383195258989E-2</v>
      </c>
      <c r="U22">
        <v>1</v>
      </c>
      <c r="V22" t="s">
        <v>31</v>
      </c>
      <c r="W22">
        <v>-2.1015800678398272E-4</v>
      </c>
      <c r="X22" cm="1">
        <f t="array" ref="X22">INDEX(LINEST($O$2:$O$127,$B$2:$N$127,TRUE,TRUE),1,U22)</f>
        <v>-6.2089263874296038E-4</v>
      </c>
    </row>
    <row r="23" spans="1:24">
      <c r="A23" t="s">
        <v>14</v>
      </c>
      <c r="B23">
        <v>13.48</v>
      </c>
      <c r="C23">
        <v>1.81</v>
      </c>
      <c r="D23">
        <v>2.41</v>
      </c>
      <c r="E23">
        <v>20.5</v>
      </c>
      <c r="F23">
        <v>100</v>
      </c>
      <c r="G23">
        <v>2.7</v>
      </c>
      <c r="H23">
        <v>2.98</v>
      </c>
      <c r="I23">
        <v>0.26</v>
      </c>
      <c r="J23">
        <v>1.86</v>
      </c>
      <c r="K23">
        <v>5.0999999999999996</v>
      </c>
      <c r="L23">
        <v>1.04</v>
      </c>
      <c r="M23">
        <v>3.47</v>
      </c>
      <c r="N23">
        <v>920</v>
      </c>
      <c r="O23">
        <f t="shared" si="0"/>
        <v>0</v>
      </c>
      <c r="P23" cm="1">
        <f t="array" ref="P23">MMULT(B23:N23,$W$10:$W$22)+$W$9</f>
        <v>-0.9871957986034916</v>
      </c>
      <c r="Q23" t="str">
        <f t="shared" si="1"/>
        <v>V1</v>
      </c>
      <c r="R23">
        <f t="shared" si="2"/>
        <v>0</v>
      </c>
      <c r="S23" s="9">
        <f t="shared" si="3"/>
        <v>4.5703060569998143E-3</v>
      </c>
    </row>
    <row r="24" spans="1:24">
      <c r="A24" t="s">
        <v>14</v>
      </c>
      <c r="B24">
        <v>13.28</v>
      </c>
      <c r="C24">
        <v>1.64</v>
      </c>
      <c r="D24">
        <v>2.84</v>
      </c>
      <c r="E24">
        <v>15.5</v>
      </c>
      <c r="F24">
        <v>110</v>
      </c>
      <c r="G24">
        <v>2.6</v>
      </c>
      <c r="H24">
        <v>2.68</v>
      </c>
      <c r="I24">
        <v>0.34</v>
      </c>
      <c r="J24">
        <v>1.36</v>
      </c>
      <c r="K24">
        <v>4.5999999999999996</v>
      </c>
      <c r="L24">
        <v>1.0900000000000001</v>
      </c>
      <c r="M24">
        <v>2.78</v>
      </c>
      <c r="N24">
        <v>880</v>
      </c>
      <c r="O24">
        <f t="shared" si="0"/>
        <v>0</v>
      </c>
      <c r="P24" cm="1">
        <f t="array" ref="P24">MMULT(B24:N24,$W$10:$W$22)+$W$9</f>
        <v>-0.68309822779138152</v>
      </c>
      <c r="Q24" t="str">
        <f t="shared" si="1"/>
        <v>V1</v>
      </c>
      <c r="R24">
        <f t="shared" si="2"/>
        <v>0</v>
      </c>
      <c r="S24" s="9">
        <f t="shared" si="3"/>
        <v>5.5929190701306211E-2</v>
      </c>
    </row>
    <row r="25" spans="1:24">
      <c r="A25" t="s">
        <v>14</v>
      </c>
      <c r="B25">
        <v>13.05</v>
      </c>
      <c r="C25">
        <v>1.65</v>
      </c>
      <c r="D25">
        <v>2.5499999999999998</v>
      </c>
      <c r="E25">
        <v>18</v>
      </c>
      <c r="F25">
        <v>98</v>
      </c>
      <c r="G25">
        <v>2.4500000000000002</v>
      </c>
      <c r="H25">
        <v>2.4300000000000002</v>
      </c>
      <c r="I25">
        <v>0.28999999999999998</v>
      </c>
      <c r="J25">
        <v>1.44</v>
      </c>
      <c r="K25">
        <v>4.25</v>
      </c>
      <c r="L25">
        <v>1.1200000000000001</v>
      </c>
      <c r="M25">
        <v>2.5099999999999998</v>
      </c>
      <c r="N25">
        <v>1105</v>
      </c>
      <c r="O25">
        <f t="shared" si="0"/>
        <v>0</v>
      </c>
      <c r="P25" cm="1">
        <f t="array" ref="P25">MMULT(B25:N25,$W$10:$W$22)+$W$9</f>
        <v>-0.47970464164863857</v>
      </c>
      <c r="Q25" t="str">
        <f t="shared" si="1"/>
        <v>V2</v>
      </c>
      <c r="R25">
        <f t="shared" si="2"/>
        <v>1</v>
      </c>
      <c r="S25" s="9">
        <f t="shared" si="3"/>
        <v>6.6639791164903317E-2</v>
      </c>
    </row>
    <row r="26" spans="1:24">
      <c r="A26" t="s">
        <v>14</v>
      </c>
      <c r="B26">
        <v>14.22</v>
      </c>
      <c r="C26">
        <v>3.99</v>
      </c>
      <c r="D26">
        <v>2.5099999999999998</v>
      </c>
      <c r="E26">
        <v>13.2</v>
      </c>
      <c r="F26">
        <v>128</v>
      </c>
      <c r="G26">
        <v>3</v>
      </c>
      <c r="H26">
        <v>3.04</v>
      </c>
      <c r="I26">
        <v>0.2</v>
      </c>
      <c r="J26">
        <v>2.08</v>
      </c>
      <c r="K26">
        <v>5.0999999999999996</v>
      </c>
      <c r="L26">
        <v>0.89</v>
      </c>
      <c r="M26">
        <v>3.53</v>
      </c>
      <c r="N26">
        <v>760</v>
      </c>
      <c r="O26">
        <f t="shared" si="0"/>
        <v>0</v>
      </c>
      <c r="P26" cm="1">
        <f t="array" ref="P26">MMULT(B26:N26,$W$10:$W$22)+$W$9</f>
        <v>-0.97057586752383562</v>
      </c>
      <c r="Q26" t="str">
        <f t="shared" si="1"/>
        <v>V1</v>
      </c>
      <c r="R26">
        <f t="shared" si="2"/>
        <v>0</v>
      </c>
      <c r="S26" s="9">
        <f t="shared" si="3"/>
        <v>2.5993792362144857E-3</v>
      </c>
    </row>
    <row r="27" spans="1:24">
      <c r="A27" t="s">
        <v>14</v>
      </c>
      <c r="B27">
        <v>13.41</v>
      </c>
      <c r="C27">
        <v>3.84</v>
      </c>
      <c r="D27">
        <v>2.12</v>
      </c>
      <c r="E27">
        <v>18.8</v>
      </c>
      <c r="F27">
        <v>90</v>
      </c>
      <c r="G27">
        <v>2.4500000000000002</v>
      </c>
      <c r="H27">
        <v>2.68</v>
      </c>
      <c r="I27">
        <v>0.27</v>
      </c>
      <c r="J27">
        <v>1.48</v>
      </c>
      <c r="K27">
        <v>4.28</v>
      </c>
      <c r="L27">
        <v>0.91</v>
      </c>
      <c r="M27">
        <v>3</v>
      </c>
      <c r="N27">
        <v>1035</v>
      </c>
      <c r="O27">
        <f t="shared" si="0"/>
        <v>0</v>
      </c>
      <c r="P27" cm="1">
        <f t="array" ref="P27">MMULT(B27:N27,$W$10:$W$22)+$W$9</f>
        <v>-0.73783184817523084</v>
      </c>
      <c r="Q27" t="str">
        <f t="shared" si="1"/>
        <v>V1</v>
      </c>
      <c r="R27">
        <f t="shared" si="2"/>
        <v>0</v>
      </c>
      <c r="S27" s="9">
        <f t="shared" si="3"/>
        <v>3.3036665488749964E-2</v>
      </c>
      <c r="U27" t="s">
        <v>32</v>
      </c>
      <c r="V27" t="s">
        <v>33</v>
      </c>
      <c r="W27" t="s">
        <v>34</v>
      </c>
    </row>
    <row r="28" spans="1:24">
      <c r="A28" t="s">
        <v>14</v>
      </c>
      <c r="B28">
        <v>13.88</v>
      </c>
      <c r="C28">
        <v>1.89</v>
      </c>
      <c r="D28">
        <v>2.59</v>
      </c>
      <c r="E28">
        <v>15</v>
      </c>
      <c r="F28">
        <v>101</v>
      </c>
      <c r="G28">
        <v>3.25</v>
      </c>
      <c r="H28">
        <v>3.56</v>
      </c>
      <c r="I28">
        <v>0.17</v>
      </c>
      <c r="J28">
        <v>1.7</v>
      </c>
      <c r="K28">
        <v>5.43</v>
      </c>
      <c r="L28">
        <v>0.88</v>
      </c>
      <c r="M28">
        <v>3.56</v>
      </c>
      <c r="N28">
        <v>1095</v>
      </c>
      <c r="O28">
        <f t="shared" si="0"/>
        <v>0</v>
      </c>
      <c r="P28" cm="1">
        <f t="array" ref="P28">MMULT(B28:N28,$W$10:$W$22)+$W$9</f>
        <v>-1.2278512303174756</v>
      </c>
      <c r="Q28" t="str">
        <f t="shared" si="1"/>
        <v>V1</v>
      </c>
      <c r="R28">
        <f t="shared" si="2"/>
        <v>0</v>
      </c>
      <c r="S28" s="9">
        <f t="shared" si="3"/>
        <v>9.5023901138434133E-2</v>
      </c>
      <c r="U28">
        <f>AVERAGEIFS(P$2:P$179,O$2:O$179,U2)</f>
        <v>-0.91959175984100483</v>
      </c>
      <c r="V28">
        <f>COUNTIF(O$2:O$179, U2)</f>
        <v>39</v>
      </c>
      <c r="W28">
        <f>(U28*V28+U29*V29)/(V28+V29)</f>
        <v>-0.52403918335318422</v>
      </c>
    </row>
    <row r="29" spans="1:24">
      <c r="A29" t="s">
        <v>14</v>
      </c>
      <c r="B29">
        <v>13.24</v>
      </c>
      <c r="C29">
        <v>3.98</v>
      </c>
      <c r="D29">
        <v>2.29</v>
      </c>
      <c r="E29">
        <v>17.5</v>
      </c>
      <c r="F29">
        <v>103</v>
      </c>
      <c r="G29">
        <v>2.64</v>
      </c>
      <c r="H29">
        <v>2.63</v>
      </c>
      <c r="I29">
        <v>0.32</v>
      </c>
      <c r="J29">
        <v>1.66</v>
      </c>
      <c r="K29">
        <v>4.3600000000000003</v>
      </c>
      <c r="L29">
        <v>0.82</v>
      </c>
      <c r="M29">
        <v>3</v>
      </c>
      <c r="N29">
        <v>680</v>
      </c>
      <c r="O29">
        <f t="shared" si="0"/>
        <v>0</v>
      </c>
      <c r="P29" cm="1">
        <f t="array" ref="P29">MMULT(B29:N29,$W$10:$W$22)+$W$9</f>
        <v>-0.6152835957260625</v>
      </c>
      <c r="Q29" t="str">
        <f t="shared" si="1"/>
        <v>V1</v>
      </c>
      <c r="R29">
        <f t="shared" si="2"/>
        <v>0</v>
      </c>
      <c r="S29" s="9">
        <f t="shared" si="3"/>
        <v>9.2603458747006678E-2</v>
      </c>
      <c r="U29">
        <f>AVERAGEIFS(P$2:P$179,O$2:O$179,U3)</f>
        <v>-0.22155780133308617</v>
      </c>
      <c r="V29">
        <f>COUNTIF(O$2:O$179, U3)</f>
        <v>51</v>
      </c>
      <c r="W29">
        <f>(U29*V29+U30*V30)/(V29+V30)</f>
        <v>0.19111499236119978</v>
      </c>
    </row>
    <row r="30" spans="1:24">
      <c r="A30" t="s">
        <v>14</v>
      </c>
      <c r="B30">
        <v>13.05</v>
      </c>
      <c r="C30">
        <v>1.77</v>
      </c>
      <c r="D30">
        <v>2.1</v>
      </c>
      <c r="E30">
        <v>17</v>
      </c>
      <c r="F30">
        <v>107</v>
      </c>
      <c r="G30">
        <v>3</v>
      </c>
      <c r="H30">
        <v>3</v>
      </c>
      <c r="I30">
        <v>0.28000000000000003</v>
      </c>
      <c r="J30">
        <v>2.0299999999999998</v>
      </c>
      <c r="K30">
        <v>5.04</v>
      </c>
      <c r="L30">
        <v>0.88</v>
      </c>
      <c r="M30">
        <v>3.35</v>
      </c>
      <c r="N30">
        <v>885</v>
      </c>
      <c r="O30">
        <f t="shared" si="0"/>
        <v>0</v>
      </c>
      <c r="P30" cm="1">
        <f t="array" ref="P30">MMULT(B30:N30,$W$10:$W$22)+$W$9</f>
        <v>-0.88101057761028123</v>
      </c>
      <c r="Q30" t="str">
        <f t="shared" si="1"/>
        <v>V1</v>
      </c>
      <c r="R30">
        <f t="shared" si="2"/>
        <v>0</v>
      </c>
      <c r="S30" s="9">
        <f t="shared" si="3"/>
        <v>1.4885076223203023E-3</v>
      </c>
      <c r="U30">
        <f>AVERAGEIFS(P$2:P$179,O$2:O$179,U4)</f>
        <v>0.77573478342810498</v>
      </c>
      <c r="V30">
        <f>COUNTIF(O$2:O$179, U4)</f>
        <v>36</v>
      </c>
    </row>
    <row r="31" spans="1:24">
      <c r="A31" t="s">
        <v>14</v>
      </c>
      <c r="B31">
        <v>13.9</v>
      </c>
      <c r="C31">
        <v>1.68</v>
      </c>
      <c r="D31">
        <v>2.12</v>
      </c>
      <c r="E31">
        <v>16</v>
      </c>
      <c r="F31">
        <v>101</v>
      </c>
      <c r="G31">
        <v>3.1</v>
      </c>
      <c r="H31">
        <v>3.39</v>
      </c>
      <c r="I31">
        <v>0.21</v>
      </c>
      <c r="J31">
        <v>2.14</v>
      </c>
      <c r="K31">
        <v>6.1</v>
      </c>
      <c r="L31">
        <v>0.91</v>
      </c>
      <c r="M31">
        <v>3.33</v>
      </c>
      <c r="N31">
        <v>985</v>
      </c>
      <c r="O31">
        <f t="shared" si="0"/>
        <v>0</v>
      </c>
      <c r="P31" cm="1">
        <f t="array" ref="P31">MMULT(B31:N31,$W$10:$W$22)+$W$9</f>
        <v>-1.0779472680953135</v>
      </c>
      <c r="Q31" t="str">
        <f t="shared" si="1"/>
        <v>V1</v>
      </c>
      <c r="R31">
        <f t="shared" si="2"/>
        <v>0</v>
      </c>
      <c r="S31" s="9">
        <f t="shared" si="3"/>
        <v>2.507646699448042E-2</v>
      </c>
    </row>
    <row r="32" spans="1:24">
      <c r="A32" t="s">
        <v>14</v>
      </c>
      <c r="B32">
        <v>14.1</v>
      </c>
      <c r="C32">
        <v>2.02</v>
      </c>
      <c r="D32">
        <v>2.4</v>
      </c>
      <c r="E32">
        <v>18.8</v>
      </c>
      <c r="F32">
        <v>103</v>
      </c>
      <c r="G32">
        <v>2.75</v>
      </c>
      <c r="H32">
        <v>2.92</v>
      </c>
      <c r="I32">
        <v>0.32</v>
      </c>
      <c r="J32">
        <v>2.38</v>
      </c>
      <c r="K32">
        <v>6.2</v>
      </c>
      <c r="L32">
        <v>1.07</v>
      </c>
      <c r="M32">
        <v>2.75</v>
      </c>
      <c r="N32">
        <v>1060</v>
      </c>
      <c r="O32">
        <f t="shared" si="0"/>
        <v>0</v>
      </c>
      <c r="P32" cm="1">
        <f t="array" ref="P32">MMULT(B32:N32,$W$10:$W$22)+$W$9</f>
        <v>-0.79759189117962803</v>
      </c>
      <c r="Q32" t="str">
        <f t="shared" si="1"/>
        <v>V1</v>
      </c>
      <c r="R32">
        <f t="shared" si="2"/>
        <v>0</v>
      </c>
      <c r="S32" s="9">
        <f t="shared" si="3"/>
        <v>1.4883967953393189E-2</v>
      </c>
    </row>
    <row r="33" spans="1:36">
      <c r="A33" t="s">
        <v>14</v>
      </c>
      <c r="B33">
        <v>13.05</v>
      </c>
      <c r="C33">
        <v>1.73</v>
      </c>
      <c r="D33">
        <v>2.04</v>
      </c>
      <c r="E33">
        <v>12.4</v>
      </c>
      <c r="F33">
        <v>92</v>
      </c>
      <c r="G33">
        <v>2.72</v>
      </c>
      <c r="H33">
        <v>3.27</v>
      </c>
      <c r="I33">
        <v>0.17</v>
      </c>
      <c r="J33">
        <v>2.91</v>
      </c>
      <c r="K33">
        <v>7.2</v>
      </c>
      <c r="L33">
        <v>1.1200000000000001</v>
      </c>
      <c r="M33">
        <v>2.91</v>
      </c>
      <c r="N33">
        <v>1150</v>
      </c>
      <c r="O33">
        <f t="shared" si="0"/>
        <v>0</v>
      </c>
      <c r="P33" cm="1">
        <f t="array" ref="P33">MMULT(B33:N33,$W$10:$W$22)+$W$9</f>
        <v>-0.87534465116573923</v>
      </c>
      <c r="Q33" t="str">
        <f t="shared" si="1"/>
        <v>V1</v>
      </c>
      <c r="R33">
        <f t="shared" si="2"/>
        <v>0</v>
      </c>
      <c r="S33" s="9">
        <f t="shared" si="3"/>
        <v>1.9578066261207645E-3</v>
      </c>
    </row>
    <row r="34" spans="1:36">
      <c r="A34" t="s">
        <v>14</v>
      </c>
      <c r="B34">
        <v>13.83</v>
      </c>
      <c r="C34">
        <v>1.65</v>
      </c>
      <c r="D34">
        <v>2.6</v>
      </c>
      <c r="E34">
        <v>17.2</v>
      </c>
      <c r="F34">
        <v>94</v>
      </c>
      <c r="G34">
        <v>2.4500000000000002</v>
      </c>
      <c r="H34">
        <v>2.99</v>
      </c>
      <c r="I34">
        <v>0.22</v>
      </c>
      <c r="J34">
        <v>2.29</v>
      </c>
      <c r="K34">
        <v>5.6</v>
      </c>
      <c r="L34">
        <v>1.24</v>
      </c>
      <c r="M34">
        <v>3.37</v>
      </c>
      <c r="N34">
        <v>1265</v>
      </c>
      <c r="O34">
        <f t="shared" ref="O34:O65" si="4">IF(A34=V$2,U$2,IF(A34=V$3,U$3,U$4))</f>
        <v>0</v>
      </c>
      <c r="P34" cm="1">
        <f t="array" ref="P34">MMULT(B34:N34,$W$10:$W$22)+$W$9</f>
        <v>-1.0826194220168013</v>
      </c>
      <c r="Q34" t="str">
        <f t="shared" si="1"/>
        <v>V1</v>
      </c>
      <c r="R34">
        <f t="shared" si="2"/>
        <v>0</v>
      </c>
      <c r="S34" s="9">
        <f t="shared" si="3"/>
        <v>2.6578018634505613E-2</v>
      </c>
      <c r="U34" s="8" t="s">
        <v>44</v>
      </c>
      <c r="V34" s="8"/>
      <c r="W34" s="1">
        <f>SUM(R2:R179)</f>
        <v>12</v>
      </c>
    </row>
    <row r="35" spans="1:36">
      <c r="A35" t="s">
        <v>14</v>
      </c>
      <c r="B35">
        <v>13.82</v>
      </c>
      <c r="C35">
        <v>1.75</v>
      </c>
      <c r="D35">
        <v>2.42</v>
      </c>
      <c r="E35">
        <v>14</v>
      </c>
      <c r="F35">
        <v>111</v>
      </c>
      <c r="G35">
        <v>3.88</v>
      </c>
      <c r="H35">
        <v>3.74</v>
      </c>
      <c r="I35">
        <v>0.32</v>
      </c>
      <c r="J35">
        <v>1.87</v>
      </c>
      <c r="K35">
        <v>7.05</v>
      </c>
      <c r="L35">
        <v>1.01</v>
      </c>
      <c r="M35">
        <v>3.26</v>
      </c>
      <c r="N35">
        <v>1190</v>
      </c>
      <c r="O35">
        <f t="shared" si="4"/>
        <v>0</v>
      </c>
      <c r="P35" cm="1">
        <f t="array" ref="P35">MMULT(B35:N35,$W$10:$W$22)+$W$9</f>
        <v>-1.2335223414417178</v>
      </c>
      <c r="Q35" t="str">
        <f t="shared" si="1"/>
        <v>V1</v>
      </c>
      <c r="R35">
        <f t="shared" si="2"/>
        <v>0</v>
      </c>
      <c r="S35" s="9">
        <f t="shared" si="3"/>
        <v>9.8552410064161905E-2</v>
      </c>
      <c r="U35" s="6" t="s">
        <v>46</v>
      </c>
      <c r="V35" s="6"/>
      <c r="W35" s="7">
        <f>1-W34/126</f>
        <v>0.90476190476190477</v>
      </c>
    </row>
    <row r="36" spans="1:36">
      <c r="A36" t="s">
        <v>14</v>
      </c>
      <c r="B36">
        <v>13.77</v>
      </c>
      <c r="C36">
        <v>1.9</v>
      </c>
      <c r="D36">
        <v>2.68</v>
      </c>
      <c r="E36">
        <v>17.100000000000001</v>
      </c>
      <c r="F36">
        <v>115</v>
      </c>
      <c r="G36">
        <v>3</v>
      </c>
      <c r="H36">
        <v>2.79</v>
      </c>
      <c r="I36">
        <v>0.39</v>
      </c>
      <c r="J36">
        <v>1.68</v>
      </c>
      <c r="K36">
        <v>6.3</v>
      </c>
      <c r="L36">
        <v>1.1299999999999999</v>
      </c>
      <c r="M36">
        <v>2.93</v>
      </c>
      <c r="N36">
        <v>1375</v>
      </c>
      <c r="O36">
        <f t="shared" si="4"/>
        <v>0</v>
      </c>
      <c r="P36" cm="1">
        <f t="array" ref="P36">MMULT(B36:N36,$W$10:$W$22)+$W$9</f>
        <v>-0.8517566419828202</v>
      </c>
      <c r="Q36" t="str">
        <f t="shared" si="1"/>
        <v>V1</v>
      </c>
      <c r="R36">
        <f t="shared" si="2"/>
        <v>0</v>
      </c>
      <c r="S36" s="9">
        <f t="shared" si="3"/>
        <v>4.6016032148338002E-3</v>
      </c>
    </row>
    <row r="37" spans="1:36">
      <c r="A37" t="s">
        <v>14</v>
      </c>
      <c r="B37">
        <v>13.74</v>
      </c>
      <c r="C37">
        <v>1.67</v>
      </c>
      <c r="D37">
        <v>2.25</v>
      </c>
      <c r="E37">
        <v>16.399999999999999</v>
      </c>
      <c r="F37">
        <v>118</v>
      </c>
      <c r="G37">
        <v>2.6</v>
      </c>
      <c r="H37">
        <v>2.9</v>
      </c>
      <c r="I37">
        <v>0.21</v>
      </c>
      <c r="J37">
        <v>1.62</v>
      </c>
      <c r="K37">
        <v>5.85</v>
      </c>
      <c r="L37">
        <v>0.92</v>
      </c>
      <c r="M37">
        <v>3.2</v>
      </c>
      <c r="N37">
        <v>1060</v>
      </c>
      <c r="O37">
        <f t="shared" si="4"/>
        <v>0</v>
      </c>
      <c r="P37" cm="1">
        <f t="array" ref="P37">MMULT(B37:N37,$W$10:$W$22)+$W$9</f>
        <v>-0.86824338607059692</v>
      </c>
      <c r="Q37" t="str">
        <f t="shared" si="1"/>
        <v>V1</v>
      </c>
      <c r="R37">
        <f t="shared" si="2"/>
        <v>0</v>
      </c>
      <c r="S37" s="9">
        <f t="shared" si="3"/>
        <v>2.6366554888655148E-3</v>
      </c>
      <c r="U37" t="s">
        <v>38</v>
      </c>
      <c r="V37">
        <f>(U28-AVERAGE(U28:U30))^2+(U29-AVERAGE(U28:U30))^2+(U30-AVERAGE(U28:U30))^2</f>
        <v>1.4519919983875604</v>
      </c>
    </row>
    <row r="38" spans="1:36">
      <c r="A38" t="s">
        <v>14</v>
      </c>
      <c r="B38">
        <v>13.56</v>
      </c>
      <c r="C38">
        <v>1.73</v>
      </c>
      <c r="D38">
        <v>2.46</v>
      </c>
      <c r="E38">
        <v>20.5</v>
      </c>
      <c r="F38">
        <v>116</v>
      </c>
      <c r="G38">
        <v>2.96</v>
      </c>
      <c r="H38">
        <v>2.78</v>
      </c>
      <c r="I38">
        <v>0.2</v>
      </c>
      <c r="J38">
        <v>2.4500000000000002</v>
      </c>
      <c r="K38">
        <v>6.25</v>
      </c>
      <c r="L38">
        <v>0.98</v>
      </c>
      <c r="M38">
        <v>3.03</v>
      </c>
      <c r="N38">
        <v>1120</v>
      </c>
      <c r="O38">
        <f t="shared" si="4"/>
        <v>0</v>
      </c>
      <c r="P38" cm="1">
        <f t="array" ref="P38">MMULT(B38:N38,$W$10:$W$22)+$W$9</f>
        <v>-0.64611270693937684</v>
      </c>
      <c r="Q38" t="str">
        <f t="shared" si="1"/>
        <v>V1</v>
      </c>
      <c r="R38">
        <f t="shared" si="2"/>
        <v>0</v>
      </c>
      <c r="S38" s="9">
        <f t="shared" si="3"/>
        <v>7.4790792375971443E-2</v>
      </c>
      <c r="U38" t="s">
        <v>39</v>
      </c>
      <c r="V38" s="2">
        <f>SUM(S2:S127)</f>
        <v>4.1086336052983405</v>
      </c>
    </row>
    <row r="39" spans="1:36">
      <c r="A39" t="s">
        <v>14</v>
      </c>
      <c r="B39">
        <v>14.22</v>
      </c>
      <c r="C39">
        <v>1.7</v>
      </c>
      <c r="D39">
        <v>2.2999999999999998</v>
      </c>
      <c r="E39">
        <v>16.3</v>
      </c>
      <c r="F39">
        <v>118</v>
      </c>
      <c r="G39">
        <v>3.2</v>
      </c>
      <c r="H39">
        <v>3</v>
      </c>
      <c r="I39">
        <v>0.26</v>
      </c>
      <c r="J39">
        <v>2.0299999999999998</v>
      </c>
      <c r="K39">
        <v>6.38</v>
      </c>
      <c r="L39">
        <v>0.94</v>
      </c>
      <c r="M39">
        <v>3.31</v>
      </c>
      <c r="N39">
        <v>970</v>
      </c>
      <c r="O39">
        <f t="shared" si="4"/>
        <v>0</v>
      </c>
      <c r="P39" cm="1">
        <f t="array" ref="P39">MMULT(B39:N39,$W$10:$W$22)+$W$9</f>
        <v>-0.89114327321437026</v>
      </c>
      <c r="Q39" t="str">
        <f t="shared" si="1"/>
        <v>V1</v>
      </c>
      <c r="R39">
        <f t="shared" si="2"/>
        <v>0</v>
      </c>
      <c r="S39" s="9">
        <f t="shared" si="3"/>
        <v>8.0931639134580616E-4</v>
      </c>
      <c r="U39" t="s">
        <v>40</v>
      </c>
      <c r="V39">
        <f>V37/V38</f>
        <v>0.35340021473687161</v>
      </c>
    </row>
    <row r="40" spans="1:36">
      <c r="A40" t="s">
        <v>14</v>
      </c>
      <c r="B40">
        <v>13.72</v>
      </c>
      <c r="C40">
        <v>1.43</v>
      </c>
      <c r="D40">
        <v>2.5</v>
      </c>
      <c r="E40">
        <v>16.7</v>
      </c>
      <c r="F40">
        <v>108</v>
      </c>
      <c r="G40">
        <v>3.4</v>
      </c>
      <c r="H40">
        <v>3.67</v>
      </c>
      <c r="I40">
        <v>0.19</v>
      </c>
      <c r="J40">
        <v>2.04</v>
      </c>
      <c r="K40">
        <v>6.8</v>
      </c>
      <c r="L40">
        <v>0.89</v>
      </c>
      <c r="M40">
        <v>2.87</v>
      </c>
      <c r="N40">
        <v>1285</v>
      </c>
      <c r="O40">
        <f t="shared" si="4"/>
        <v>0</v>
      </c>
      <c r="P40" cm="1">
        <f t="array" ref="P40">MMULT(B40:N40,$W$10:$W$22)+$W$9</f>
        <v>-1.0429694065079418</v>
      </c>
      <c r="Q40" t="str">
        <f t="shared" si="1"/>
        <v>V1</v>
      </c>
      <c r="R40">
        <f t="shared" si="2"/>
        <v>0</v>
      </c>
      <c r="S40" s="9">
        <f t="shared" si="3"/>
        <v>1.522204369707154E-2</v>
      </c>
    </row>
    <row r="41" spans="1:36">
      <c r="A41" t="s">
        <v>15</v>
      </c>
      <c r="B41">
        <v>12.37</v>
      </c>
      <c r="C41">
        <v>0.94</v>
      </c>
      <c r="D41">
        <v>1.36</v>
      </c>
      <c r="E41">
        <v>10.6</v>
      </c>
      <c r="F41">
        <v>88</v>
      </c>
      <c r="G41">
        <v>1.98</v>
      </c>
      <c r="H41">
        <v>0.56999999999999995</v>
      </c>
      <c r="I41">
        <v>0.28000000000000003</v>
      </c>
      <c r="J41">
        <v>0.42</v>
      </c>
      <c r="K41">
        <v>1.95</v>
      </c>
      <c r="L41">
        <v>1.05</v>
      </c>
      <c r="M41">
        <v>1.82</v>
      </c>
      <c r="N41">
        <v>520</v>
      </c>
      <c r="O41">
        <f t="shared" si="4"/>
        <v>1</v>
      </c>
      <c r="P41" cm="1">
        <f t="array" ref="P41">MMULT(B41:N41,$W$10:$W$22)+$W$9</f>
        <v>0.79538697133623315</v>
      </c>
      <c r="Q41" t="str">
        <f t="shared" si="1"/>
        <v>V3</v>
      </c>
      <c r="R41">
        <f t="shared" si="2"/>
        <v>1</v>
      </c>
      <c r="S41" s="9">
        <f t="shared" si="3"/>
        <v>3.8620848957637914E-4</v>
      </c>
    </row>
    <row r="42" spans="1:36">
      <c r="A42" t="s">
        <v>15</v>
      </c>
      <c r="B42">
        <v>12.64</v>
      </c>
      <c r="C42">
        <v>1.36</v>
      </c>
      <c r="D42">
        <v>2.02</v>
      </c>
      <c r="E42">
        <v>16.8</v>
      </c>
      <c r="F42">
        <v>100</v>
      </c>
      <c r="G42">
        <v>2.02</v>
      </c>
      <c r="H42">
        <v>1.41</v>
      </c>
      <c r="I42">
        <v>0.53</v>
      </c>
      <c r="J42">
        <v>0.62</v>
      </c>
      <c r="K42">
        <v>5.75</v>
      </c>
      <c r="L42">
        <v>0.98</v>
      </c>
      <c r="M42">
        <v>1.59</v>
      </c>
      <c r="N42">
        <v>450</v>
      </c>
      <c r="O42">
        <f t="shared" si="4"/>
        <v>1</v>
      </c>
      <c r="P42" cm="1">
        <f t="array" ref="P42">MMULT(B42:N42,$W$10:$W$22)+$W$9</f>
        <v>0.37475895504742907</v>
      </c>
      <c r="Q42" t="str">
        <f t="shared" si="1"/>
        <v>V3</v>
      </c>
      <c r="R42">
        <f t="shared" si="2"/>
        <v>1</v>
      </c>
      <c r="S42" s="9">
        <f t="shared" si="3"/>
        <v>0.16078161494556925</v>
      </c>
    </row>
    <row r="43" spans="1:36">
      <c r="A43" t="s">
        <v>15</v>
      </c>
      <c r="B43">
        <v>13.67</v>
      </c>
      <c r="C43">
        <v>1.25</v>
      </c>
      <c r="D43">
        <v>1.92</v>
      </c>
      <c r="E43">
        <v>18</v>
      </c>
      <c r="F43">
        <v>94</v>
      </c>
      <c r="G43">
        <v>2.1</v>
      </c>
      <c r="H43">
        <v>1.79</v>
      </c>
      <c r="I43">
        <v>0.32</v>
      </c>
      <c r="J43">
        <v>0.73</v>
      </c>
      <c r="K43">
        <v>3.8</v>
      </c>
      <c r="L43">
        <v>1.23</v>
      </c>
      <c r="M43">
        <v>2.46</v>
      </c>
      <c r="N43">
        <v>630</v>
      </c>
      <c r="O43">
        <f t="shared" si="4"/>
        <v>1</v>
      </c>
      <c r="P43" cm="1">
        <f t="array" ref="P43">MMULT(B43:N43,$W$10:$W$22)+$W$9</f>
        <v>-0.17734317456175797</v>
      </c>
      <c r="Q43" t="str">
        <f t="shared" si="1"/>
        <v>V2</v>
      </c>
      <c r="R43">
        <f t="shared" si="2"/>
        <v>0</v>
      </c>
      <c r="S43" s="9">
        <f t="shared" si="3"/>
        <v>1.9549332205278528E-3</v>
      </c>
    </row>
    <row r="44" spans="1:36">
      <c r="A44" t="s">
        <v>15</v>
      </c>
      <c r="B44">
        <v>12.17</v>
      </c>
      <c r="C44">
        <v>1.45</v>
      </c>
      <c r="D44">
        <v>2.5299999999999998</v>
      </c>
      <c r="E44">
        <v>19</v>
      </c>
      <c r="F44">
        <v>104</v>
      </c>
      <c r="G44">
        <v>1.89</v>
      </c>
      <c r="H44">
        <v>1.75</v>
      </c>
      <c r="I44">
        <v>0.45</v>
      </c>
      <c r="J44">
        <v>1.03</v>
      </c>
      <c r="K44">
        <v>2.95</v>
      </c>
      <c r="L44">
        <v>1.45</v>
      </c>
      <c r="M44">
        <v>2.23</v>
      </c>
      <c r="N44">
        <v>355</v>
      </c>
      <c r="O44">
        <f t="shared" si="4"/>
        <v>1</v>
      </c>
      <c r="P44" cm="1">
        <f t="array" ref="P44">MMULT(B44:N44,$W$10:$W$22)+$W$9</f>
        <v>-9.8609287940450319E-2</v>
      </c>
      <c r="Q44" t="str">
        <f t="shared" si="1"/>
        <v>V2</v>
      </c>
      <c r="R44">
        <f t="shared" si="2"/>
        <v>0</v>
      </c>
      <c r="S44" s="9">
        <f t="shared" si="3"/>
        <v>1.5116336945459156E-2</v>
      </c>
    </row>
    <row r="45" spans="1:36">
      <c r="A45" t="s">
        <v>15</v>
      </c>
      <c r="B45">
        <v>12.37</v>
      </c>
      <c r="C45">
        <v>1.21</v>
      </c>
      <c r="D45">
        <v>2.56</v>
      </c>
      <c r="E45">
        <v>18.100000000000001</v>
      </c>
      <c r="F45">
        <v>98</v>
      </c>
      <c r="G45">
        <v>2.42</v>
      </c>
      <c r="H45">
        <v>2.65</v>
      </c>
      <c r="I45">
        <v>0.37</v>
      </c>
      <c r="J45">
        <v>2.08</v>
      </c>
      <c r="K45">
        <v>4.5999999999999996</v>
      </c>
      <c r="L45">
        <v>1.19</v>
      </c>
      <c r="M45">
        <v>2.2999999999999998</v>
      </c>
      <c r="N45">
        <v>678</v>
      </c>
      <c r="O45">
        <f t="shared" si="4"/>
        <v>1</v>
      </c>
      <c r="P45" cm="1">
        <f t="array" ref="P45">MMULT(B45:N45,$W$10:$W$22)+$W$9</f>
        <v>-0.45861540280958923</v>
      </c>
      <c r="Q45" t="str">
        <f t="shared" si="1"/>
        <v>V2</v>
      </c>
      <c r="R45">
        <f t="shared" si="2"/>
        <v>0</v>
      </c>
      <c r="S45" s="9">
        <f t="shared" si="3"/>
        <v>5.6196306417792552E-2</v>
      </c>
    </row>
    <row r="46" spans="1:36">
      <c r="A46" t="s">
        <v>15</v>
      </c>
      <c r="B46">
        <v>12.37</v>
      </c>
      <c r="C46">
        <v>1.17</v>
      </c>
      <c r="D46">
        <v>1.92</v>
      </c>
      <c r="E46">
        <v>19.600000000000001</v>
      </c>
      <c r="F46">
        <v>78</v>
      </c>
      <c r="G46">
        <v>2.11</v>
      </c>
      <c r="H46">
        <v>2</v>
      </c>
      <c r="I46">
        <v>0.27</v>
      </c>
      <c r="J46">
        <v>1.04</v>
      </c>
      <c r="K46">
        <v>4.68</v>
      </c>
      <c r="L46">
        <v>1.1200000000000001</v>
      </c>
      <c r="M46">
        <v>3.48</v>
      </c>
      <c r="N46">
        <v>510</v>
      </c>
      <c r="O46">
        <f t="shared" si="4"/>
        <v>1</v>
      </c>
      <c r="P46" cm="1">
        <f t="array" ref="P46">MMULT(B46:N46,$W$10:$W$22)+$W$9</f>
        <v>-0.39999066735855449</v>
      </c>
      <c r="Q46" t="str">
        <f t="shared" si="1"/>
        <v>V2</v>
      </c>
      <c r="R46">
        <f t="shared" si="2"/>
        <v>0</v>
      </c>
      <c r="S46" s="9">
        <f t="shared" si="3"/>
        <v>3.1838287678062724E-2</v>
      </c>
      <c r="U46" s="4"/>
      <c r="V46" s="5"/>
      <c r="W46" s="5"/>
      <c r="X46" s="5"/>
      <c r="Y46" s="5"/>
      <c r="Z46" s="5"/>
      <c r="AA46" s="5"/>
      <c r="AB46" s="5"/>
      <c r="AC46" s="5"/>
      <c r="AD46" s="5"/>
      <c r="AE46" s="5"/>
      <c r="AF46" s="5"/>
      <c r="AG46" s="5"/>
      <c r="AH46" s="5"/>
      <c r="AI46" s="3"/>
      <c r="AJ46" s="3"/>
    </row>
    <row r="47" spans="1:36">
      <c r="A47" t="s">
        <v>15</v>
      </c>
      <c r="B47">
        <v>13.34</v>
      </c>
      <c r="C47">
        <v>0.94</v>
      </c>
      <c r="D47">
        <v>2.36</v>
      </c>
      <c r="E47">
        <v>17</v>
      </c>
      <c r="F47">
        <v>110</v>
      </c>
      <c r="G47">
        <v>2.5299999999999998</v>
      </c>
      <c r="H47">
        <v>1.3</v>
      </c>
      <c r="I47">
        <v>0.55000000000000004</v>
      </c>
      <c r="J47">
        <v>0.42</v>
      </c>
      <c r="K47">
        <v>3.17</v>
      </c>
      <c r="L47">
        <v>1.02</v>
      </c>
      <c r="M47">
        <v>1.93</v>
      </c>
      <c r="N47">
        <v>750</v>
      </c>
      <c r="O47">
        <f t="shared" si="4"/>
        <v>1</v>
      </c>
      <c r="P47" cm="1">
        <f t="array" ref="P47">MMULT(B47:N47,$W$10:$W$22)+$W$9</f>
        <v>0.18816447750599874</v>
      </c>
      <c r="Q47" t="str">
        <f t="shared" si="1"/>
        <v>V2</v>
      </c>
      <c r="R47">
        <f t="shared" si="2"/>
        <v>0</v>
      </c>
      <c r="S47" s="9">
        <f t="shared" si="3"/>
        <v>0.16787234577709284</v>
      </c>
      <c r="U47" s="3"/>
      <c r="V47" s="3"/>
      <c r="W47" s="3"/>
      <c r="X47" s="3"/>
      <c r="Y47" s="3"/>
      <c r="Z47" s="3"/>
      <c r="AA47" s="3"/>
      <c r="AB47" s="3"/>
      <c r="AC47" s="3"/>
      <c r="AD47" s="3"/>
      <c r="AE47" s="3"/>
      <c r="AF47" s="3"/>
      <c r="AG47" s="3"/>
      <c r="AH47" s="3"/>
      <c r="AI47" s="3"/>
      <c r="AJ47" s="3"/>
    </row>
    <row r="48" spans="1:36">
      <c r="A48" t="s">
        <v>15</v>
      </c>
      <c r="B48">
        <v>12.21</v>
      </c>
      <c r="C48">
        <v>1.19</v>
      </c>
      <c r="D48">
        <v>1.75</v>
      </c>
      <c r="E48">
        <v>16.8</v>
      </c>
      <c r="F48">
        <v>151</v>
      </c>
      <c r="G48">
        <v>1.85</v>
      </c>
      <c r="H48">
        <v>1.28</v>
      </c>
      <c r="I48">
        <v>0.14000000000000001</v>
      </c>
      <c r="J48">
        <v>2.5</v>
      </c>
      <c r="K48">
        <v>2.85</v>
      </c>
      <c r="L48">
        <v>1.28</v>
      </c>
      <c r="M48">
        <v>3.07</v>
      </c>
      <c r="N48">
        <v>718</v>
      </c>
      <c r="O48">
        <f t="shared" si="4"/>
        <v>1</v>
      </c>
      <c r="P48" cm="1">
        <f t="array" ref="P48">MMULT(B48:N48,$W$10:$W$22)+$W$9</f>
        <v>1.10509073508398E-2</v>
      </c>
      <c r="Q48" t="str">
        <f t="shared" si="1"/>
        <v>V2</v>
      </c>
      <c r="R48">
        <f t="shared" si="2"/>
        <v>0</v>
      </c>
      <c r="S48" s="9">
        <f t="shared" si="3"/>
        <v>5.4106811355603537E-2</v>
      </c>
    </row>
    <row r="49" spans="1:19">
      <c r="A49" t="s">
        <v>15</v>
      </c>
      <c r="B49">
        <v>12.29</v>
      </c>
      <c r="C49">
        <v>1.61</v>
      </c>
      <c r="D49">
        <v>2.21</v>
      </c>
      <c r="E49">
        <v>20.399999999999999</v>
      </c>
      <c r="F49">
        <v>103</v>
      </c>
      <c r="G49">
        <v>1.1000000000000001</v>
      </c>
      <c r="H49">
        <v>1.02</v>
      </c>
      <c r="I49">
        <v>0.37</v>
      </c>
      <c r="J49">
        <v>1.46</v>
      </c>
      <c r="K49">
        <v>3.05</v>
      </c>
      <c r="L49">
        <v>0.90600000000000003</v>
      </c>
      <c r="M49">
        <v>1.82</v>
      </c>
      <c r="N49">
        <v>870</v>
      </c>
      <c r="O49">
        <f t="shared" si="4"/>
        <v>1</v>
      </c>
      <c r="P49" cm="1">
        <f t="array" ref="P49">MMULT(B49:N49,$W$10:$W$22)+$W$9</f>
        <v>0.36041228631731848</v>
      </c>
      <c r="Q49" t="str">
        <f t="shared" si="1"/>
        <v>V3</v>
      </c>
      <c r="R49">
        <f t="shared" si="2"/>
        <v>1</v>
      </c>
      <c r="S49" s="9">
        <f t="shared" si="3"/>
        <v>0.17249277660633927</v>
      </c>
    </row>
    <row r="50" spans="1:19">
      <c r="A50" t="s">
        <v>15</v>
      </c>
      <c r="B50">
        <v>13.86</v>
      </c>
      <c r="C50">
        <v>1.51</v>
      </c>
      <c r="D50">
        <v>2.67</v>
      </c>
      <c r="E50">
        <v>25</v>
      </c>
      <c r="F50">
        <v>86</v>
      </c>
      <c r="G50">
        <v>2.95</v>
      </c>
      <c r="H50">
        <v>2.86</v>
      </c>
      <c r="I50">
        <v>0.21</v>
      </c>
      <c r="J50">
        <v>1.87</v>
      </c>
      <c r="K50">
        <v>3.38</v>
      </c>
      <c r="L50">
        <v>1.36</v>
      </c>
      <c r="M50">
        <v>3.16</v>
      </c>
      <c r="N50">
        <v>410</v>
      </c>
      <c r="O50">
        <f t="shared" si="4"/>
        <v>1</v>
      </c>
      <c r="P50" cm="1">
        <f t="array" ref="P50">MMULT(B50:N50,$W$10:$W$22)+$W$9</f>
        <v>-0.74537085333722919</v>
      </c>
      <c r="Q50" t="str">
        <f t="shared" si="1"/>
        <v>V1</v>
      </c>
      <c r="R50">
        <f t="shared" si="2"/>
        <v>1</v>
      </c>
      <c r="S50" s="9">
        <f t="shared" si="3"/>
        <v>3.0352924262997332E-2</v>
      </c>
    </row>
    <row r="51" spans="1:19">
      <c r="A51" t="s">
        <v>15</v>
      </c>
      <c r="B51">
        <v>13.49</v>
      </c>
      <c r="C51">
        <v>1.66</v>
      </c>
      <c r="D51">
        <v>2.2400000000000002</v>
      </c>
      <c r="E51">
        <v>24</v>
      </c>
      <c r="F51">
        <v>87</v>
      </c>
      <c r="G51">
        <v>1.88</v>
      </c>
      <c r="H51">
        <v>1.84</v>
      </c>
      <c r="I51">
        <v>0.27</v>
      </c>
      <c r="J51">
        <v>1.03</v>
      </c>
      <c r="K51">
        <v>3.74</v>
      </c>
      <c r="L51">
        <v>0.98</v>
      </c>
      <c r="M51">
        <v>2.78</v>
      </c>
      <c r="N51">
        <v>472</v>
      </c>
      <c r="O51">
        <f t="shared" si="4"/>
        <v>1</v>
      </c>
      <c r="P51" cm="1">
        <f t="array" ref="P51">MMULT(B51:N51,$W$10:$W$22)+$W$9</f>
        <v>-0.18949105973885993</v>
      </c>
      <c r="Q51" t="str">
        <f t="shared" si="1"/>
        <v>V2</v>
      </c>
      <c r="R51">
        <f t="shared" si="2"/>
        <v>0</v>
      </c>
      <c r="S51" s="9">
        <f t="shared" si="3"/>
        <v>1.0282759164708787E-3</v>
      </c>
    </row>
    <row r="52" spans="1:19">
      <c r="A52" t="s">
        <v>15</v>
      </c>
      <c r="B52">
        <v>12.99</v>
      </c>
      <c r="C52">
        <v>1.67</v>
      </c>
      <c r="D52">
        <v>2.6</v>
      </c>
      <c r="E52">
        <v>30</v>
      </c>
      <c r="F52">
        <v>139</v>
      </c>
      <c r="G52">
        <v>3.3</v>
      </c>
      <c r="H52">
        <v>2.89</v>
      </c>
      <c r="I52">
        <v>0.21</v>
      </c>
      <c r="J52">
        <v>1.96</v>
      </c>
      <c r="K52">
        <v>3.35</v>
      </c>
      <c r="L52">
        <v>1.31</v>
      </c>
      <c r="M52">
        <v>3.5</v>
      </c>
      <c r="N52">
        <v>985</v>
      </c>
      <c r="O52">
        <f t="shared" si="4"/>
        <v>1</v>
      </c>
      <c r="P52" cm="1">
        <f t="array" ref="P52">MMULT(B52:N52,$W$10:$W$22)+$W$9</f>
        <v>-0.9001323147187783</v>
      </c>
      <c r="Q52" t="str">
        <f t="shared" si="1"/>
        <v>V1</v>
      </c>
      <c r="R52">
        <f t="shared" si="2"/>
        <v>1</v>
      </c>
      <c r="S52" s="9">
        <f t="shared" si="3"/>
        <v>3.7867000446494572E-4</v>
      </c>
    </row>
    <row r="53" spans="1:19">
      <c r="A53" t="s">
        <v>15</v>
      </c>
      <c r="B53">
        <v>11.96</v>
      </c>
      <c r="C53">
        <v>1.0900000000000001</v>
      </c>
      <c r="D53">
        <v>2.2999999999999998</v>
      </c>
      <c r="E53">
        <v>21</v>
      </c>
      <c r="F53">
        <v>101</v>
      </c>
      <c r="G53">
        <v>3.38</v>
      </c>
      <c r="H53">
        <v>2.14</v>
      </c>
      <c r="I53">
        <v>0.13</v>
      </c>
      <c r="J53">
        <v>1.65</v>
      </c>
      <c r="K53">
        <v>3.21</v>
      </c>
      <c r="L53">
        <v>0.99</v>
      </c>
      <c r="M53">
        <v>3.13</v>
      </c>
      <c r="N53">
        <v>886</v>
      </c>
      <c r="O53">
        <f t="shared" si="4"/>
        <v>1</v>
      </c>
      <c r="P53" cm="1">
        <f t="array" ref="P53">MMULT(B53:N53,$W$10:$W$22)+$W$9</f>
        <v>-0.12846960388779838</v>
      </c>
      <c r="Q53" t="str">
        <f t="shared" si="1"/>
        <v>V2</v>
      </c>
      <c r="R53">
        <f t="shared" si="2"/>
        <v>0</v>
      </c>
      <c r="S53" s="9">
        <f t="shared" si="3"/>
        <v>8.6654125036128848E-3</v>
      </c>
    </row>
    <row r="54" spans="1:19">
      <c r="A54" t="s">
        <v>15</v>
      </c>
      <c r="B54">
        <v>11.66</v>
      </c>
      <c r="C54">
        <v>1.88</v>
      </c>
      <c r="D54">
        <v>1.92</v>
      </c>
      <c r="E54">
        <v>16</v>
      </c>
      <c r="F54">
        <v>97</v>
      </c>
      <c r="G54">
        <v>1.61</v>
      </c>
      <c r="H54">
        <v>1.57</v>
      </c>
      <c r="I54">
        <v>0.34</v>
      </c>
      <c r="J54">
        <v>1.1499999999999999</v>
      </c>
      <c r="K54">
        <v>3.8</v>
      </c>
      <c r="L54">
        <v>1.23</v>
      </c>
      <c r="M54">
        <v>2.14</v>
      </c>
      <c r="N54">
        <v>428</v>
      </c>
      <c r="O54">
        <f t="shared" si="4"/>
        <v>1</v>
      </c>
      <c r="P54" cm="1">
        <f t="array" ref="P54">MMULT(B54:N54,$W$10:$W$22)+$W$9</f>
        <v>0.14089144488305205</v>
      </c>
      <c r="Q54" t="str">
        <f t="shared" si="1"/>
        <v>V2</v>
      </c>
      <c r="R54">
        <f t="shared" si="2"/>
        <v>0</v>
      </c>
      <c r="S54" s="9">
        <f t="shared" si="3"/>
        <v>0.13136945608264677</v>
      </c>
    </row>
    <row r="55" spans="1:19">
      <c r="A55" t="s">
        <v>15</v>
      </c>
      <c r="B55">
        <v>13.03</v>
      </c>
      <c r="C55">
        <v>0.9</v>
      </c>
      <c r="D55">
        <v>1.71</v>
      </c>
      <c r="E55">
        <v>16</v>
      </c>
      <c r="F55">
        <v>86</v>
      </c>
      <c r="G55">
        <v>1.95</v>
      </c>
      <c r="H55">
        <v>2.0299999999999998</v>
      </c>
      <c r="I55">
        <v>0.24</v>
      </c>
      <c r="J55">
        <v>1.46</v>
      </c>
      <c r="K55">
        <v>4.5999999999999996</v>
      </c>
      <c r="L55">
        <v>1.19</v>
      </c>
      <c r="M55">
        <v>2.48</v>
      </c>
      <c r="N55">
        <v>392</v>
      </c>
      <c r="O55">
        <f t="shared" si="4"/>
        <v>1</v>
      </c>
      <c r="P55" cm="1">
        <f t="array" ref="P55">MMULT(B55:N55,$W$10:$W$22)+$W$9</f>
        <v>-0.15633562118976752</v>
      </c>
      <c r="Q55" t="str">
        <f t="shared" si="1"/>
        <v>V2</v>
      </c>
      <c r="R55">
        <f t="shared" si="2"/>
        <v>0</v>
      </c>
      <c r="S55" s="9">
        <f t="shared" si="3"/>
        <v>4.2539327826475104E-3</v>
      </c>
    </row>
    <row r="56" spans="1:19">
      <c r="A56" t="s">
        <v>15</v>
      </c>
      <c r="B56">
        <v>11.84</v>
      </c>
      <c r="C56">
        <v>2.89</v>
      </c>
      <c r="D56">
        <v>2.23</v>
      </c>
      <c r="E56">
        <v>18</v>
      </c>
      <c r="F56">
        <v>112</v>
      </c>
      <c r="G56">
        <v>1.72</v>
      </c>
      <c r="H56">
        <v>1.32</v>
      </c>
      <c r="I56">
        <v>0.43</v>
      </c>
      <c r="J56">
        <v>0.95</v>
      </c>
      <c r="K56">
        <v>2.65</v>
      </c>
      <c r="L56">
        <v>0.96</v>
      </c>
      <c r="M56">
        <v>2.52</v>
      </c>
      <c r="N56">
        <v>500</v>
      </c>
      <c r="O56">
        <f t="shared" si="4"/>
        <v>1</v>
      </c>
      <c r="P56" cm="1">
        <f t="array" ref="P56">MMULT(B56:N56,$W$10:$W$22)+$W$9</f>
        <v>9.5826519715787484E-2</v>
      </c>
      <c r="Q56" t="str">
        <f t="shared" si="1"/>
        <v>V2</v>
      </c>
      <c r="R56">
        <f t="shared" si="2"/>
        <v>0</v>
      </c>
      <c r="S56" s="9">
        <f t="shared" si="3"/>
        <v>0.1007328072476545</v>
      </c>
    </row>
    <row r="57" spans="1:19">
      <c r="A57" t="s">
        <v>15</v>
      </c>
      <c r="B57">
        <v>12.33</v>
      </c>
      <c r="C57">
        <v>0.99</v>
      </c>
      <c r="D57">
        <v>1.95</v>
      </c>
      <c r="E57">
        <v>14.8</v>
      </c>
      <c r="F57">
        <v>136</v>
      </c>
      <c r="G57">
        <v>1.9</v>
      </c>
      <c r="H57">
        <v>1.85</v>
      </c>
      <c r="I57">
        <v>0.35</v>
      </c>
      <c r="J57">
        <v>2.76</v>
      </c>
      <c r="K57">
        <v>3.4</v>
      </c>
      <c r="L57">
        <v>1.06</v>
      </c>
      <c r="M57">
        <v>2.31</v>
      </c>
      <c r="N57">
        <v>750</v>
      </c>
      <c r="O57">
        <f t="shared" si="4"/>
        <v>1</v>
      </c>
      <c r="P57" cm="1">
        <f t="array" ref="P57">MMULT(B57:N57,$W$10:$W$22)+$W$9</f>
        <v>-0.15894519194324053</v>
      </c>
      <c r="Q57" t="str">
        <f t="shared" si="1"/>
        <v>V2</v>
      </c>
      <c r="R57">
        <f t="shared" si="2"/>
        <v>0</v>
      </c>
      <c r="S57" s="9">
        <f t="shared" si="3"/>
        <v>3.9203388546053862E-3</v>
      </c>
    </row>
    <row r="58" spans="1:19">
      <c r="A58" t="s">
        <v>15</v>
      </c>
      <c r="B58">
        <v>12</v>
      </c>
      <c r="C58">
        <v>0.92</v>
      </c>
      <c r="D58">
        <v>2</v>
      </c>
      <c r="E58">
        <v>19</v>
      </c>
      <c r="F58">
        <v>86</v>
      </c>
      <c r="G58">
        <v>2.42</v>
      </c>
      <c r="H58">
        <v>2.2599999999999998</v>
      </c>
      <c r="I58">
        <v>0.3</v>
      </c>
      <c r="J58">
        <v>1.43</v>
      </c>
      <c r="K58">
        <v>2.5</v>
      </c>
      <c r="L58">
        <v>1.38</v>
      </c>
      <c r="M58">
        <v>3.12</v>
      </c>
      <c r="N58">
        <v>278</v>
      </c>
      <c r="O58">
        <f t="shared" si="4"/>
        <v>1</v>
      </c>
      <c r="P58" cm="1">
        <f t="array" ref="P58">MMULT(B58:N58,$W$10:$W$22)+$W$9</f>
        <v>-0.45297916940321059</v>
      </c>
      <c r="Q58" t="str">
        <f t="shared" si="1"/>
        <v>V2</v>
      </c>
      <c r="R58">
        <f t="shared" si="2"/>
        <v>0</v>
      </c>
      <c r="S58" s="9">
        <f t="shared" si="3"/>
        <v>5.3555849599448001E-2</v>
      </c>
    </row>
    <row r="59" spans="1:19">
      <c r="A59" t="s">
        <v>15</v>
      </c>
      <c r="B59">
        <v>12.08</v>
      </c>
      <c r="C59">
        <v>1.1299999999999999</v>
      </c>
      <c r="D59">
        <v>2.5099999999999998</v>
      </c>
      <c r="E59">
        <v>24</v>
      </c>
      <c r="F59">
        <v>78</v>
      </c>
      <c r="G59">
        <v>2</v>
      </c>
      <c r="H59">
        <v>1.58</v>
      </c>
      <c r="I59">
        <v>0.4</v>
      </c>
      <c r="J59">
        <v>1.4</v>
      </c>
      <c r="K59">
        <v>2.2000000000000002</v>
      </c>
      <c r="L59">
        <v>1.31</v>
      </c>
      <c r="M59">
        <v>2.72</v>
      </c>
      <c r="N59">
        <v>630</v>
      </c>
      <c r="O59">
        <f t="shared" si="4"/>
        <v>1</v>
      </c>
      <c r="P59" cm="1">
        <f t="array" ref="P59">MMULT(B59:N59,$W$10:$W$22)+$W$9</f>
        <v>-0.11947399699623951</v>
      </c>
      <c r="Q59" t="str">
        <f t="shared" si="1"/>
        <v>V2</v>
      </c>
      <c r="R59">
        <f t="shared" si="2"/>
        <v>0</v>
      </c>
      <c r="S59" s="9">
        <f t="shared" si="3"/>
        <v>1.0421103107883594E-2</v>
      </c>
    </row>
    <row r="60" spans="1:19">
      <c r="A60" t="s">
        <v>15</v>
      </c>
      <c r="B60">
        <v>13.05</v>
      </c>
      <c r="C60">
        <v>3.86</v>
      </c>
      <c r="D60">
        <v>2.3199999999999998</v>
      </c>
      <c r="E60">
        <v>22.5</v>
      </c>
      <c r="F60">
        <v>85</v>
      </c>
      <c r="G60">
        <v>1.65</v>
      </c>
      <c r="H60">
        <v>1.59</v>
      </c>
      <c r="I60">
        <v>0.61</v>
      </c>
      <c r="J60">
        <v>1.62</v>
      </c>
      <c r="K60">
        <v>4.8</v>
      </c>
      <c r="L60">
        <v>0.84</v>
      </c>
      <c r="M60">
        <v>2.0099999999999998</v>
      </c>
      <c r="N60">
        <v>515</v>
      </c>
      <c r="O60">
        <f t="shared" si="4"/>
        <v>1</v>
      </c>
      <c r="P60" cm="1">
        <f t="array" ref="P60">MMULT(B60:N60,$W$10:$W$22)+$W$9</f>
        <v>1.3474522570897651E-2</v>
      </c>
      <c r="Q60" t="str">
        <f t="shared" si="1"/>
        <v>V2</v>
      </c>
      <c r="R60">
        <f t="shared" si="2"/>
        <v>0</v>
      </c>
      <c r="S60" s="9">
        <f t="shared" si="3"/>
        <v>5.5240193279707167E-2</v>
      </c>
    </row>
    <row r="61" spans="1:19">
      <c r="A61" t="s">
        <v>15</v>
      </c>
      <c r="B61">
        <v>11.84</v>
      </c>
      <c r="C61">
        <v>0.89</v>
      </c>
      <c r="D61">
        <v>2.58</v>
      </c>
      <c r="E61">
        <v>18</v>
      </c>
      <c r="F61">
        <v>94</v>
      </c>
      <c r="G61">
        <v>2.2000000000000002</v>
      </c>
      <c r="H61">
        <v>2.21</v>
      </c>
      <c r="I61">
        <v>0.22</v>
      </c>
      <c r="J61">
        <v>2.35</v>
      </c>
      <c r="K61">
        <v>3.05</v>
      </c>
      <c r="L61">
        <v>0.79</v>
      </c>
      <c r="M61">
        <v>3.08</v>
      </c>
      <c r="N61">
        <v>520</v>
      </c>
      <c r="O61">
        <f t="shared" si="4"/>
        <v>1</v>
      </c>
      <c r="P61" cm="1">
        <f t="array" ref="P61">MMULT(B61:N61,$W$10:$W$22)+$W$9</f>
        <v>-0.29165657023261016</v>
      </c>
      <c r="Q61" t="str">
        <f t="shared" si="1"/>
        <v>V2</v>
      </c>
      <c r="R61">
        <f t="shared" si="2"/>
        <v>0</v>
      </c>
      <c r="S61" s="9">
        <f t="shared" si="3"/>
        <v>4.9138374012288712E-3</v>
      </c>
    </row>
    <row r="62" spans="1:19">
      <c r="A62" t="s">
        <v>15</v>
      </c>
      <c r="B62">
        <v>12.16</v>
      </c>
      <c r="C62">
        <v>1.61</v>
      </c>
      <c r="D62">
        <v>2.31</v>
      </c>
      <c r="E62">
        <v>22.8</v>
      </c>
      <c r="F62">
        <v>90</v>
      </c>
      <c r="G62">
        <v>1.78</v>
      </c>
      <c r="H62">
        <v>1.69</v>
      </c>
      <c r="I62">
        <v>0.43</v>
      </c>
      <c r="J62">
        <v>1.56</v>
      </c>
      <c r="K62">
        <v>2.4500000000000002</v>
      </c>
      <c r="L62">
        <v>1.33</v>
      </c>
      <c r="M62">
        <v>2.2599999999999998</v>
      </c>
      <c r="N62">
        <v>495</v>
      </c>
      <c r="O62">
        <f t="shared" si="4"/>
        <v>1</v>
      </c>
      <c r="P62" cm="1">
        <f t="array" ref="P62">MMULT(B62:N62,$W$10:$W$22)+$W$9</f>
        <v>-8.2619968993491444E-2</v>
      </c>
      <c r="Q62" t="str">
        <f t="shared" si="1"/>
        <v>V2</v>
      </c>
      <c r="R62">
        <f t="shared" si="2"/>
        <v>0</v>
      </c>
      <c r="S62" s="9">
        <f t="shared" si="3"/>
        <v>1.9303721255225333E-2</v>
      </c>
    </row>
    <row r="63" spans="1:19">
      <c r="A63" t="s">
        <v>15</v>
      </c>
      <c r="B63">
        <v>11.65</v>
      </c>
      <c r="C63">
        <v>1.67</v>
      </c>
      <c r="D63">
        <v>2.62</v>
      </c>
      <c r="E63">
        <v>26</v>
      </c>
      <c r="F63">
        <v>88</v>
      </c>
      <c r="G63">
        <v>1.92</v>
      </c>
      <c r="H63">
        <v>1.61</v>
      </c>
      <c r="I63">
        <v>0.4</v>
      </c>
      <c r="J63">
        <v>1.34</v>
      </c>
      <c r="K63">
        <v>2.6</v>
      </c>
      <c r="L63">
        <v>1.36</v>
      </c>
      <c r="M63">
        <v>3.21</v>
      </c>
      <c r="N63">
        <v>562</v>
      </c>
      <c r="O63">
        <f t="shared" si="4"/>
        <v>1</v>
      </c>
      <c r="P63" cm="1">
        <f t="array" ref="P63">MMULT(B63:N63,$W$10:$W$22)+$W$9</f>
        <v>-0.25824896955581256</v>
      </c>
      <c r="Q63" t="str">
        <f t="shared" si="1"/>
        <v>V2</v>
      </c>
      <c r="R63">
        <f t="shared" si="2"/>
        <v>0</v>
      </c>
      <c r="S63" s="9">
        <f t="shared" si="3"/>
        <v>1.3462418255484067E-3</v>
      </c>
    </row>
    <row r="64" spans="1:19">
      <c r="A64" t="s">
        <v>15</v>
      </c>
      <c r="B64">
        <v>11.64</v>
      </c>
      <c r="C64">
        <v>2.06</v>
      </c>
      <c r="D64">
        <v>2.46</v>
      </c>
      <c r="E64">
        <v>21.6</v>
      </c>
      <c r="F64">
        <v>84</v>
      </c>
      <c r="G64">
        <v>1.95</v>
      </c>
      <c r="H64">
        <v>1.69</v>
      </c>
      <c r="I64">
        <v>0.48</v>
      </c>
      <c r="J64">
        <v>1.35</v>
      </c>
      <c r="K64">
        <v>2.8</v>
      </c>
      <c r="L64">
        <v>1</v>
      </c>
      <c r="M64">
        <v>2.75</v>
      </c>
      <c r="N64">
        <v>680</v>
      </c>
      <c r="O64">
        <f t="shared" si="4"/>
        <v>1</v>
      </c>
      <c r="P64" cm="1">
        <f t="array" ref="P64">MMULT(B64:N64,$W$10:$W$22)+$W$9</f>
        <v>-0.17325161507756404</v>
      </c>
      <c r="Q64" t="str">
        <f t="shared" si="1"/>
        <v>V2</v>
      </c>
      <c r="R64">
        <f t="shared" si="2"/>
        <v>0</v>
      </c>
      <c r="S64" s="9">
        <f t="shared" si="3"/>
        <v>2.3334876305531956E-3</v>
      </c>
    </row>
    <row r="65" spans="1:19">
      <c r="A65" t="s">
        <v>15</v>
      </c>
      <c r="B65">
        <v>12.08</v>
      </c>
      <c r="C65">
        <v>1.33</v>
      </c>
      <c r="D65">
        <v>2.2999999999999998</v>
      </c>
      <c r="E65">
        <v>23.6</v>
      </c>
      <c r="F65">
        <v>70</v>
      </c>
      <c r="G65">
        <v>2.2000000000000002</v>
      </c>
      <c r="H65">
        <v>1.59</v>
      </c>
      <c r="I65">
        <v>0.42</v>
      </c>
      <c r="J65">
        <v>1.38</v>
      </c>
      <c r="K65">
        <v>1.74</v>
      </c>
      <c r="L65">
        <v>1.07</v>
      </c>
      <c r="M65">
        <v>3.21</v>
      </c>
      <c r="N65">
        <v>625</v>
      </c>
      <c r="O65">
        <f t="shared" si="4"/>
        <v>1</v>
      </c>
      <c r="P65" cm="1">
        <f t="array" ref="P65">MMULT(B65:N65,$W$10:$W$22)+$W$9</f>
        <v>-0.23635750696402846</v>
      </c>
      <c r="Q65" t="str">
        <f t="shared" si="1"/>
        <v>V2</v>
      </c>
      <c r="R65">
        <f t="shared" si="2"/>
        <v>0</v>
      </c>
      <c r="S65" s="9">
        <f t="shared" si="3"/>
        <v>2.1903128676254506E-4</v>
      </c>
    </row>
    <row r="66" spans="1:19">
      <c r="A66" t="s">
        <v>15</v>
      </c>
      <c r="B66">
        <v>12.08</v>
      </c>
      <c r="C66">
        <v>1.83</v>
      </c>
      <c r="D66">
        <v>2.3199999999999998</v>
      </c>
      <c r="E66">
        <v>18.5</v>
      </c>
      <c r="F66">
        <v>81</v>
      </c>
      <c r="G66">
        <v>1.6</v>
      </c>
      <c r="H66">
        <v>1.5</v>
      </c>
      <c r="I66">
        <v>0.52</v>
      </c>
      <c r="J66">
        <v>1.64</v>
      </c>
      <c r="K66">
        <v>2.4</v>
      </c>
      <c r="L66">
        <v>1.08</v>
      </c>
      <c r="M66">
        <v>2.27</v>
      </c>
      <c r="N66">
        <v>480</v>
      </c>
      <c r="O66">
        <f t="shared" ref="O66:O97" si="5">IF(A66=V$2,U$2,IF(A66=V$3,U$3,U$4))</f>
        <v>1</v>
      </c>
      <c r="P66" cm="1">
        <f t="array" ref="P66">MMULT(B66:N66,$W$10:$W$22)+$W$9</f>
        <v>-2.1577605940507283E-2</v>
      </c>
      <c r="Q66" t="str">
        <f t="shared" si="1"/>
        <v>V2</v>
      </c>
      <c r="R66">
        <f t="shared" si="2"/>
        <v>0</v>
      </c>
      <c r="S66" s="9">
        <f t="shared" si="3"/>
        <v>3.9992078549254031E-2</v>
      </c>
    </row>
    <row r="67" spans="1:19">
      <c r="A67" t="s">
        <v>15</v>
      </c>
      <c r="B67">
        <v>12</v>
      </c>
      <c r="C67">
        <v>1.51</v>
      </c>
      <c r="D67">
        <v>2.42</v>
      </c>
      <c r="E67">
        <v>22</v>
      </c>
      <c r="F67">
        <v>86</v>
      </c>
      <c r="G67">
        <v>1.45</v>
      </c>
      <c r="H67">
        <v>1.25</v>
      </c>
      <c r="I67">
        <v>0.5</v>
      </c>
      <c r="J67">
        <v>1.63</v>
      </c>
      <c r="K67">
        <v>3.6</v>
      </c>
      <c r="L67">
        <v>1.05</v>
      </c>
      <c r="M67">
        <v>2.65</v>
      </c>
      <c r="N67">
        <v>450</v>
      </c>
      <c r="O67">
        <f t="shared" si="5"/>
        <v>1</v>
      </c>
      <c r="P67" cm="1">
        <f t="array" ref="P67">MMULT(B67:N67,$W$10:$W$22)+$W$9</f>
        <v>5.4104285215634373E-2</v>
      </c>
      <c r="Q67" t="str">
        <f t="shared" ref="Q67:Q127" si="6">IF(P67&lt;$W$28,$V$2,IF(P67&lt;$W$29,$V$3,$V$4))</f>
        <v>V2</v>
      </c>
      <c r="R67">
        <f t="shared" ref="R67:R127" si="7">IF(A67=Q67,0,1)</f>
        <v>0</v>
      </c>
      <c r="S67" s="9">
        <f t="shared" ref="S67:S127" si="8">IF(Q67=$V$2,(P67-$U$28)^2,IF(Q67=$V$3,(P67-$U$29)^2,(P67-$U$30)^2))</f>
        <v>7.598958596039429E-2</v>
      </c>
    </row>
    <row r="68" spans="1:19">
      <c r="A68" t="s">
        <v>15</v>
      </c>
      <c r="B68">
        <v>12.69</v>
      </c>
      <c r="C68">
        <v>1.53</v>
      </c>
      <c r="D68">
        <v>2.2599999999999998</v>
      </c>
      <c r="E68">
        <v>20.7</v>
      </c>
      <c r="F68">
        <v>80</v>
      </c>
      <c r="G68">
        <v>1.38</v>
      </c>
      <c r="H68">
        <v>1.46</v>
      </c>
      <c r="I68">
        <v>0.57999999999999996</v>
      </c>
      <c r="J68">
        <v>1.62</v>
      </c>
      <c r="K68">
        <v>3.05</v>
      </c>
      <c r="L68">
        <v>0.96</v>
      </c>
      <c r="M68">
        <v>2.06</v>
      </c>
      <c r="N68">
        <v>495</v>
      </c>
      <c r="O68">
        <f t="shared" si="5"/>
        <v>1</v>
      </c>
      <c r="P68" cm="1">
        <f t="array" ref="P68">MMULT(B68:N68,$W$10:$W$22)+$W$9</f>
        <v>-1.2200646523346403E-2</v>
      </c>
      <c r="Q68" t="str">
        <f t="shared" si="6"/>
        <v>V2</v>
      </c>
      <c r="R68">
        <f t="shared" si="7"/>
        <v>0</v>
      </c>
      <c r="S68" s="9">
        <f t="shared" si="8"/>
        <v>4.3830418270029342E-2</v>
      </c>
    </row>
    <row r="69" spans="1:19">
      <c r="A69" t="s">
        <v>15</v>
      </c>
      <c r="B69">
        <v>12.29</v>
      </c>
      <c r="C69">
        <v>2.83</v>
      </c>
      <c r="D69">
        <v>2.2200000000000002</v>
      </c>
      <c r="E69">
        <v>18</v>
      </c>
      <c r="F69">
        <v>88</v>
      </c>
      <c r="G69">
        <v>2.4500000000000002</v>
      </c>
      <c r="H69">
        <v>2.25</v>
      </c>
      <c r="I69">
        <v>0.25</v>
      </c>
      <c r="J69">
        <v>1.99</v>
      </c>
      <c r="K69">
        <v>2.15</v>
      </c>
      <c r="L69">
        <v>1.1499999999999999</v>
      </c>
      <c r="M69">
        <v>3.3</v>
      </c>
      <c r="N69">
        <v>290</v>
      </c>
      <c r="O69">
        <f t="shared" si="5"/>
        <v>1</v>
      </c>
      <c r="P69" cm="1">
        <f t="array" ref="P69">MMULT(B69:N69,$W$10:$W$22)+$W$9</f>
        <v>-0.44616093062897022</v>
      </c>
      <c r="Q69" t="str">
        <f t="shared" si="6"/>
        <v>V2</v>
      </c>
      <c r="R69">
        <f t="shared" si="7"/>
        <v>0</v>
      </c>
      <c r="S69" s="9">
        <f t="shared" si="8"/>
        <v>5.0446565689503606E-2</v>
      </c>
    </row>
    <row r="70" spans="1:19">
      <c r="A70" t="s">
        <v>15</v>
      </c>
      <c r="B70">
        <v>12.47</v>
      </c>
      <c r="C70">
        <v>1.52</v>
      </c>
      <c r="D70">
        <v>2.2000000000000002</v>
      </c>
      <c r="E70">
        <v>19</v>
      </c>
      <c r="F70">
        <v>162</v>
      </c>
      <c r="G70">
        <v>2.5</v>
      </c>
      <c r="H70">
        <v>2.27</v>
      </c>
      <c r="I70">
        <v>0.32</v>
      </c>
      <c r="J70">
        <v>3.28</v>
      </c>
      <c r="K70">
        <v>2.6</v>
      </c>
      <c r="L70">
        <v>1.1599999999999999</v>
      </c>
      <c r="M70">
        <v>2.63</v>
      </c>
      <c r="N70">
        <v>937</v>
      </c>
      <c r="O70">
        <f t="shared" si="5"/>
        <v>1</v>
      </c>
      <c r="P70" cm="1">
        <f t="array" ref="P70">MMULT(B70:N70,$W$10:$W$22)+$W$9</f>
        <v>-0.47596250327697653</v>
      </c>
      <c r="Q70" t="str">
        <f t="shared" si="6"/>
        <v>V2</v>
      </c>
      <c r="R70">
        <f t="shared" si="7"/>
        <v>0</v>
      </c>
      <c r="S70" s="9">
        <f t="shared" si="8"/>
        <v>6.4721752371159694E-2</v>
      </c>
    </row>
    <row r="71" spans="1:19">
      <c r="A71" t="s">
        <v>15</v>
      </c>
      <c r="B71">
        <v>11.81</v>
      </c>
      <c r="C71">
        <v>2.12</v>
      </c>
      <c r="D71">
        <v>2.74</v>
      </c>
      <c r="E71">
        <v>21.5</v>
      </c>
      <c r="F71">
        <v>134</v>
      </c>
      <c r="G71">
        <v>1.6</v>
      </c>
      <c r="H71">
        <v>0.99</v>
      </c>
      <c r="I71">
        <v>0.14000000000000001</v>
      </c>
      <c r="J71">
        <v>1.56</v>
      </c>
      <c r="K71">
        <v>2.5</v>
      </c>
      <c r="L71">
        <v>0.95</v>
      </c>
      <c r="M71">
        <v>2.2599999999999998</v>
      </c>
      <c r="N71">
        <v>625</v>
      </c>
      <c r="O71">
        <f t="shared" si="5"/>
        <v>1</v>
      </c>
      <c r="P71" cm="1">
        <f t="array" ref="P71">MMULT(B71:N71,$W$10:$W$22)+$W$9</f>
        <v>0.54022510705398252</v>
      </c>
      <c r="Q71" t="str">
        <f t="shared" si="6"/>
        <v>V3</v>
      </c>
      <c r="R71">
        <f t="shared" si="7"/>
        <v>1</v>
      </c>
      <c r="S71" s="9">
        <f t="shared" si="8"/>
        <v>5.5464807665843892E-2</v>
      </c>
    </row>
    <row r="72" spans="1:19">
      <c r="A72" t="s">
        <v>15</v>
      </c>
      <c r="B72">
        <v>12.29</v>
      </c>
      <c r="C72">
        <v>1.41</v>
      </c>
      <c r="D72">
        <v>1.98</v>
      </c>
      <c r="E72">
        <v>16</v>
      </c>
      <c r="F72">
        <v>85</v>
      </c>
      <c r="G72">
        <v>2.5499999999999998</v>
      </c>
      <c r="H72">
        <v>2.5</v>
      </c>
      <c r="I72">
        <v>0.28999999999999998</v>
      </c>
      <c r="J72">
        <v>1.77</v>
      </c>
      <c r="K72">
        <v>2.9</v>
      </c>
      <c r="L72">
        <v>1.23</v>
      </c>
      <c r="M72">
        <v>2.74</v>
      </c>
      <c r="N72">
        <v>428</v>
      </c>
      <c r="O72">
        <f t="shared" si="5"/>
        <v>1</v>
      </c>
      <c r="P72" cm="1">
        <f t="array" ref="P72">MMULT(B72:N72,$W$10:$W$22)+$W$9</f>
        <v>-0.45379509054462064</v>
      </c>
      <c r="Q72" t="str">
        <f t="shared" si="6"/>
        <v>V2</v>
      </c>
      <c r="R72">
        <f t="shared" si="7"/>
        <v>0</v>
      </c>
      <c r="S72" s="9">
        <f t="shared" si="8"/>
        <v>5.3934158500321905E-2</v>
      </c>
    </row>
    <row r="73" spans="1:19">
      <c r="A73" t="s">
        <v>15</v>
      </c>
      <c r="B73">
        <v>12.37</v>
      </c>
      <c r="C73">
        <v>1.07</v>
      </c>
      <c r="D73">
        <v>2.1</v>
      </c>
      <c r="E73">
        <v>18.5</v>
      </c>
      <c r="F73">
        <v>88</v>
      </c>
      <c r="G73">
        <v>3.52</v>
      </c>
      <c r="H73">
        <v>3.75</v>
      </c>
      <c r="I73">
        <v>0.24</v>
      </c>
      <c r="J73">
        <v>1.95</v>
      </c>
      <c r="K73">
        <v>4.5</v>
      </c>
      <c r="L73">
        <v>1.04</v>
      </c>
      <c r="M73">
        <v>2.77</v>
      </c>
      <c r="N73">
        <v>660</v>
      </c>
      <c r="O73">
        <f t="shared" si="5"/>
        <v>1</v>
      </c>
      <c r="P73" cm="1">
        <f t="array" ref="P73">MMULT(B73:N73,$W$10:$W$22)+$W$9</f>
        <v>-0.94226057619848991</v>
      </c>
      <c r="Q73" t="str">
        <f t="shared" si="6"/>
        <v>V1</v>
      </c>
      <c r="R73">
        <f t="shared" si="7"/>
        <v>1</v>
      </c>
      <c r="S73" s="9">
        <f t="shared" si="8"/>
        <v>5.1387523504938307E-4</v>
      </c>
    </row>
    <row r="74" spans="1:19">
      <c r="A74" t="s">
        <v>15</v>
      </c>
      <c r="B74">
        <v>12.29</v>
      </c>
      <c r="C74">
        <v>3.17</v>
      </c>
      <c r="D74">
        <v>2.21</v>
      </c>
      <c r="E74">
        <v>18</v>
      </c>
      <c r="F74">
        <v>88</v>
      </c>
      <c r="G74">
        <v>2.85</v>
      </c>
      <c r="H74">
        <v>2.99</v>
      </c>
      <c r="I74">
        <v>0.45</v>
      </c>
      <c r="J74">
        <v>2.81</v>
      </c>
      <c r="K74">
        <v>2.2999999999999998</v>
      </c>
      <c r="L74">
        <v>1.42</v>
      </c>
      <c r="M74">
        <v>2.83</v>
      </c>
      <c r="N74">
        <v>406</v>
      </c>
      <c r="O74">
        <f t="shared" si="5"/>
        <v>1</v>
      </c>
      <c r="P74" cm="1">
        <f t="array" ref="P74">MMULT(B74:N74,$W$10:$W$22)+$W$9</f>
        <v>-0.85792644907685078</v>
      </c>
      <c r="Q74" t="str">
        <f t="shared" si="6"/>
        <v>V1</v>
      </c>
      <c r="R74">
        <f t="shared" si="7"/>
        <v>1</v>
      </c>
      <c r="S74" s="9">
        <f t="shared" si="8"/>
        <v>3.8026105516396928E-3</v>
      </c>
    </row>
    <row r="75" spans="1:19">
      <c r="A75" t="s">
        <v>15</v>
      </c>
      <c r="B75">
        <v>12.08</v>
      </c>
      <c r="C75">
        <v>2.08</v>
      </c>
      <c r="D75">
        <v>1.7</v>
      </c>
      <c r="E75">
        <v>17.5</v>
      </c>
      <c r="F75">
        <v>97</v>
      </c>
      <c r="G75">
        <v>2.23</v>
      </c>
      <c r="H75">
        <v>2.17</v>
      </c>
      <c r="I75">
        <v>0.26</v>
      </c>
      <c r="J75">
        <v>1.4</v>
      </c>
      <c r="K75">
        <v>3.3</v>
      </c>
      <c r="L75">
        <v>1.27</v>
      </c>
      <c r="M75">
        <v>2.96</v>
      </c>
      <c r="N75">
        <v>710</v>
      </c>
      <c r="O75">
        <f t="shared" si="5"/>
        <v>1</v>
      </c>
      <c r="P75" cm="1">
        <f t="array" ref="P75">MMULT(B75:N75,$W$10:$W$22)+$W$9</f>
        <v>-0.42069186703172878</v>
      </c>
      <c r="Q75" t="str">
        <f t="shared" si="6"/>
        <v>V2</v>
      </c>
      <c r="R75">
        <f t="shared" si="7"/>
        <v>0</v>
      </c>
      <c r="S75" s="9">
        <f t="shared" si="8"/>
        <v>3.965437612167131E-2</v>
      </c>
    </row>
    <row r="76" spans="1:19">
      <c r="A76" t="s">
        <v>15</v>
      </c>
      <c r="B76">
        <v>12.6</v>
      </c>
      <c r="C76">
        <v>1.34</v>
      </c>
      <c r="D76">
        <v>1.9</v>
      </c>
      <c r="E76">
        <v>18.5</v>
      </c>
      <c r="F76">
        <v>88</v>
      </c>
      <c r="G76">
        <v>1.45</v>
      </c>
      <c r="H76">
        <v>1.36</v>
      </c>
      <c r="I76">
        <v>0.28999999999999998</v>
      </c>
      <c r="J76">
        <v>1.35</v>
      </c>
      <c r="K76">
        <v>2.4500000000000002</v>
      </c>
      <c r="L76">
        <v>1.04</v>
      </c>
      <c r="M76">
        <v>2.77</v>
      </c>
      <c r="N76">
        <v>562</v>
      </c>
      <c r="O76">
        <f t="shared" si="5"/>
        <v>1</v>
      </c>
      <c r="P76" cm="1">
        <f t="array" ref="P76">MMULT(B76:N76,$W$10:$W$22)+$W$9</f>
        <v>-2.8509752196898663E-2</v>
      </c>
      <c r="Q76" t="str">
        <f t="shared" si="6"/>
        <v>V2</v>
      </c>
      <c r="R76">
        <f t="shared" si="7"/>
        <v>0</v>
      </c>
      <c r="S76" s="9">
        <f t="shared" si="8"/>
        <v>3.7267549275287866E-2</v>
      </c>
    </row>
    <row r="77" spans="1:19">
      <c r="A77" t="s">
        <v>15</v>
      </c>
      <c r="B77">
        <v>12.34</v>
      </c>
      <c r="C77">
        <v>2.4500000000000002</v>
      </c>
      <c r="D77">
        <v>2.46</v>
      </c>
      <c r="E77">
        <v>21</v>
      </c>
      <c r="F77">
        <v>98</v>
      </c>
      <c r="G77">
        <v>2.56</v>
      </c>
      <c r="H77">
        <v>2.11</v>
      </c>
      <c r="I77">
        <v>0.34</v>
      </c>
      <c r="J77">
        <v>1.31</v>
      </c>
      <c r="K77">
        <v>2.8</v>
      </c>
      <c r="L77">
        <v>0.8</v>
      </c>
      <c r="M77">
        <v>3.38</v>
      </c>
      <c r="N77">
        <v>438</v>
      </c>
      <c r="O77">
        <f t="shared" si="5"/>
        <v>1</v>
      </c>
      <c r="P77" cm="1">
        <f t="array" ref="P77">MMULT(B77:N77,$W$10:$W$22)+$W$9</f>
        <v>-0.39120730892878219</v>
      </c>
      <c r="Q77" t="str">
        <f t="shared" si="6"/>
        <v>V2</v>
      </c>
      <c r="R77">
        <f t="shared" si="7"/>
        <v>0</v>
      </c>
      <c r="S77" s="9">
        <f t="shared" si="8"/>
        <v>2.8780955427462122E-2</v>
      </c>
    </row>
    <row r="78" spans="1:19">
      <c r="A78" t="s">
        <v>15</v>
      </c>
      <c r="B78">
        <v>12.25</v>
      </c>
      <c r="C78">
        <v>1.73</v>
      </c>
      <c r="D78">
        <v>2.12</v>
      </c>
      <c r="E78">
        <v>19</v>
      </c>
      <c r="F78">
        <v>80</v>
      </c>
      <c r="G78">
        <v>1.65</v>
      </c>
      <c r="H78">
        <v>2.0299999999999998</v>
      </c>
      <c r="I78">
        <v>0.37</v>
      </c>
      <c r="J78">
        <v>1.63</v>
      </c>
      <c r="K78">
        <v>3.4</v>
      </c>
      <c r="L78">
        <v>1</v>
      </c>
      <c r="M78">
        <v>3.17</v>
      </c>
      <c r="N78">
        <v>510</v>
      </c>
      <c r="O78">
        <f t="shared" si="5"/>
        <v>1</v>
      </c>
      <c r="P78" cm="1">
        <f t="array" ref="P78">MMULT(B78:N78,$W$10:$W$22)+$W$9</f>
        <v>-0.47430600952524005</v>
      </c>
      <c r="Q78" t="str">
        <f t="shared" si="6"/>
        <v>V2</v>
      </c>
      <c r="R78">
        <f t="shared" si="7"/>
        <v>0</v>
      </c>
      <c r="S78" s="9">
        <f t="shared" si="8"/>
        <v>6.3881656744344359E-2</v>
      </c>
    </row>
    <row r="79" spans="1:19">
      <c r="A79" t="s">
        <v>15</v>
      </c>
      <c r="B79">
        <v>12.72</v>
      </c>
      <c r="C79">
        <v>1.75</v>
      </c>
      <c r="D79">
        <v>2.2799999999999998</v>
      </c>
      <c r="E79">
        <v>22.5</v>
      </c>
      <c r="F79">
        <v>84</v>
      </c>
      <c r="G79">
        <v>1.38</v>
      </c>
      <c r="H79">
        <v>1.76</v>
      </c>
      <c r="I79">
        <v>0.48</v>
      </c>
      <c r="J79">
        <v>1.63</v>
      </c>
      <c r="K79">
        <v>3.3</v>
      </c>
      <c r="L79">
        <v>0.88</v>
      </c>
      <c r="M79">
        <v>2.42</v>
      </c>
      <c r="N79">
        <v>488</v>
      </c>
      <c r="O79">
        <f t="shared" si="5"/>
        <v>1</v>
      </c>
      <c r="P79" cm="1">
        <f t="array" ref="P79">MMULT(B79:N79,$W$10:$W$22)+$W$9</f>
        <v>-0.20505767940680775</v>
      </c>
      <c r="Q79" t="str">
        <f t="shared" si="6"/>
        <v>V2</v>
      </c>
      <c r="R79">
        <f t="shared" si="7"/>
        <v>0</v>
      </c>
      <c r="S79" s="9">
        <f t="shared" si="8"/>
        <v>2.7225402358205394E-4</v>
      </c>
    </row>
    <row r="80" spans="1:19">
      <c r="A80" t="s">
        <v>15</v>
      </c>
      <c r="B80">
        <v>12.22</v>
      </c>
      <c r="C80">
        <v>1.29</v>
      </c>
      <c r="D80">
        <v>1.94</v>
      </c>
      <c r="E80">
        <v>19</v>
      </c>
      <c r="F80">
        <v>92</v>
      </c>
      <c r="G80">
        <v>2.36</v>
      </c>
      <c r="H80">
        <v>2.04</v>
      </c>
      <c r="I80">
        <v>0.39</v>
      </c>
      <c r="J80">
        <v>2.08</v>
      </c>
      <c r="K80">
        <v>2.7</v>
      </c>
      <c r="L80">
        <v>0.86</v>
      </c>
      <c r="M80">
        <v>3.02</v>
      </c>
      <c r="N80">
        <v>312</v>
      </c>
      <c r="O80">
        <f t="shared" si="5"/>
        <v>1</v>
      </c>
      <c r="P80" cm="1">
        <f t="array" ref="P80">MMULT(B80:N80,$W$10:$W$22)+$W$9</f>
        <v>-0.29450616517945161</v>
      </c>
      <c r="Q80" t="str">
        <f t="shared" si="6"/>
        <v>V2</v>
      </c>
      <c r="R80">
        <f t="shared" si="7"/>
        <v>0</v>
      </c>
      <c r="S80" s="9">
        <f t="shared" si="8"/>
        <v>5.3214637878617162E-3</v>
      </c>
    </row>
    <row r="81" spans="1:19">
      <c r="A81" t="s">
        <v>15</v>
      </c>
      <c r="B81">
        <v>11.46</v>
      </c>
      <c r="C81">
        <v>3.74</v>
      </c>
      <c r="D81">
        <v>1.82</v>
      </c>
      <c r="E81">
        <v>19.5</v>
      </c>
      <c r="F81">
        <v>107</v>
      </c>
      <c r="G81">
        <v>3.18</v>
      </c>
      <c r="H81">
        <v>2.58</v>
      </c>
      <c r="I81">
        <v>0.24</v>
      </c>
      <c r="J81">
        <v>3.58</v>
      </c>
      <c r="K81">
        <v>2.9</v>
      </c>
      <c r="L81">
        <v>0.75</v>
      </c>
      <c r="M81">
        <v>2.81</v>
      </c>
      <c r="N81">
        <v>562</v>
      </c>
      <c r="O81">
        <f t="shared" si="5"/>
        <v>1</v>
      </c>
      <c r="P81" cm="1">
        <f t="array" ref="P81">MMULT(B81:N81,$W$10:$W$22)+$W$9</f>
        <v>-0.2557290465125277</v>
      </c>
      <c r="Q81" t="str">
        <f t="shared" si="6"/>
        <v>V2</v>
      </c>
      <c r="R81">
        <f t="shared" si="7"/>
        <v>0</v>
      </c>
      <c r="S81" s="9">
        <f t="shared" si="8"/>
        <v>1.1676739971135063E-3</v>
      </c>
    </row>
    <row r="82" spans="1:19">
      <c r="A82" t="s">
        <v>15</v>
      </c>
      <c r="B82">
        <v>12.52</v>
      </c>
      <c r="C82">
        <v>2.4300000000000002</v>
      </c>
      <c r="D82">
        <v>2.17</v>
      </c>
      <c r="E82">
        <v>21</v>
      </c>
      <c r="F82">
        <v>88</v>
      </c>
      <c r="G82">
        <v>2.5499999999999998</v>
      </c>
      <c r="H82">
        <v>2.27</v>
      </c>
      <c r="I82">
        <v>0.26</v>
      </c>
      <c r="J82">
        <v>1.22</v>
      </c>
      <c r="K82">
        <v>2</v>
      </c>
      <c r="L82">
        <v>0.9</v>
      </c>
      <c r="M82">
        <v>2.78</v>
      </c>
      <c r="N82">
        <v>325</v>
      </c>
      <c r="O82">
        <f t="shared" si="5"/>
        <v>1</v>
      </c>
      <c r="P82" cm="1">
        <f t="array" ref="P82">MMULT(B82:N82,$W$10:$W$22)+$W$9</f>
        <v>-0.26840516876685916</v>
      </c>
      <c r="Q82" t="str">
        <f t="shared" si="6"/>
        <v>V2</v>
      </c>
      <c r="R82">
        <f t="shared" si="7"/>
        <v>0</v>
      </c>
      <c r="S82" s="9">
        <f t="shared" si="8"/>
        <v>2.1946758354749341E-3</v>
      </c>
    </row>
    <row r="83" spans="1:19">
      <c r="A83" t="s">
        <v>15</v>
      </c>
      <c r="B83">
        <v>11.76</v>
      </c>
      <c r="C83">
        <v>2.68</v>
      </c>
      <c r="D83">
        <v>2.92</v>
      </c>
      <c r="E83">
        <v>20</v>
      </c>
      <c r="F83">
        <v>103</v>
      </c>
      <c r="G83">
        <v>1.75</v>
      </c>
      <c r="H83">
        <v>2.0299999999999998</v>
      </c>
      <c r="I83">
        <v>0.6</v>
      </c>
      <c r="J83">
        <v>1.05</v>
      </c>
      <c r="K83">
        <v>3.8</v>
      </c>
      <c r="L83">
        <v>1.23</v>
      </c>
      <c r="M83">
        <v>2.5</v>
      </c>
      <c r="N83">
        <v>607</v>
      </c>
      <c r="O83">
        <f t="shared" si="5"/>
        <v>1</v>
      </c>
      <c r="P83" cm="1">
        <f t="array" ref="P83">MMULT(B83:N83,$W$10:$W$22)+$W$9</f>
        <v>-0.41777797026293761</v>
      </c>
      <c r="Q83" t="str">
        <f t="shared" si="6"/>
        <v>V2</v>
      </c>
      <c r="R83">
        <f t="shared" si="7"/>
        <v>0</v>
      </c>
      <c r="S83" s="9">
        <f t="shared" si="8"/>
        <v>3.8502354694859436E-2</v>
      </c>
    </row>
    <row r="84" spans="1:19">
      <c r="A84" t="s">
        <v>15</v>
      </c>
      <c r="B84">
        <v>11.41</v>
      </c>
      <c r="C84">
        <v>0.74</v>
      </c>
      <c r="D84">
        <v>2.5</v>
      </c>
      <c r="E84">
        <v>21</v>
      </c>
      <c r="F84">
        <v>88</v>
      </c>
      <c r="G84">
        <v>2.48</v>
      </c>
      <c r="H84">
        <v>2.0099999999999998</v>
      </c>
      <c r="I84">
        <v>0.42</v>
      </c>
      <c r="J84">
        <v>1.44</v>
      </c>
      <c r="K84">
        <v>3.08</v>
      </c>
      <c r="L84">
        <v>1.1000000000000001</v>
      </c>
      <c r="M84">
        <v>2.31</v>
      </c>
      <c r="N84">
        <v>434</v>
      </c>
      <c r="O84">
        <f t="shared" si="5"/>
        <v>1</v>
      </c>
      <c r="P84" cm="1">
        <f t="array" ref="P84">MMULT(B84:N84,$W$10:$W$22)+$W$9</f>
        <v>-2.8298650100438749E-2</v>
      </c>
      <c r="Q84" t="str">
        <f t="shared" si="6"/>
        <v>V2</v>
      </c>
      <c r="R84">
        <f t="shared" si="7"/>
        <v>0</v>
      </c>
      <c r="S84" s="9">
        <f t="shared" si="8"/>
        <v>3.7349099535163285E-2</v>
      </c>
    </row>
    <row r="85" spans="1:19">
      <c r="A85" t="s">
        <v>15</v>
      </c>
      <c r="B85">
        <v>12.08</v>
      </c>
      <c r="C85">
        <v>1.39</v>
      </c>
      <c r="D85">
        <v>2.5</v>
      </c>
      <c r="E85">
        <v>22.5</v>
      </c>
      <c r="F85">
        <v>84</v>
      </c>
      <c r="G85">
        <v>2.56</v>
      </c>
      <c r="H85">
        <v>2.29</v>
      </c>
      <c r="I85">
        <v>0.43</v>
      </c>
      <c r="J85">
        <v>1.04</v>
      </c>
      <c r="K85">
        <v>2.9</v>
      </c>
      <c r="L85">
        <v>0.93</v>
      </c>
      <c r="M85">
        <v>3.19</v>
      </c>
      <c r="N85">
        <v>385</v>
      </c>
      <c r="O85">
        <f t="shared" si="5"/>
        <v>1</v>
      </c>
      <c r="P85" cm="1">
        <f t="array" ref="P85">MMULT(B85:N85,$W$10:$W$22)+$W$9</f>
        <v>-0.47729301045333061</v>
      </c>
      <c r="Q85" t="str">
        <f t="shared" si="6"/>
        <v>V2</v>
      </c>
      <c r="R85">
        <f t="shared" si="7"/>
        <v>0</v>
      </c>
      <c r="S85" s="9">
        <f t="shared" si="8"/>
        <v>6.5400497183775164E-2</v>
      </c>
    </row>
    <row r="86" spans="1:19">
      <c r="A86" t="s">
        <v>15</v>
      </c>
      <c r="B86">
        <v>11.03</v>
      </c>
      <c r="C86">
        <v>1.51</v>
      </c>
      <c r="D86">
        <v>2.2000000000000002</v>
      </c>
      <c r="E86">
        <v>21.5</v>
      </c>
      <c r="F86">
        <v>85</v>
      </c>
      <c r="G86">
        <v>2.46</v>
      </c>
      <c r="H86">
        <v>2.17</v>
      </c>
      <c r="I86">
        <v>0.52</v>
      </c>
      <c r="J86">
        <v>2.0099999999999998</v>
      </c>
      <c r="K86">
        <v>1.9</v>
      </c>
      <c r="L86">
        <v>1.71</v>
      </c>
      <c r="M86">
        <v>2.87</v>
      </c>
      <c r="N86">
        <v>407</v>
      </c>
      <c r="O86">
        <f t="shared" si="5"/>
        <v>1</v>
      </c>
      <c r="P86" cm="1">
        <f t="array" ref="P86">MMULT(B86:N86,$W$10:$W$22)+$W$9</f>
        <v>-0.49011571966556389</v>
      </c>
      <c r="Q86" t="str">
        <f t="shared" si="6"/>
        <v>V2</v>
      </c>
      <c r="R86">
        <f t="shared" si="7"/>
        <v>0</v>
      </c>
      <c r="S86" s="9">
        <f t="shared" si="8"/>
        <v>7.2123355499073769E-2</v>
      </c>
    </row>
    <row r="87" spans="1:19">
      <c r="A87" t="s">
        <v>15</v>
      </c>
      <c r="B87">
        <v>12.42</v>
      </c>
      <c r="C87">
        <v>1.61</v>
      </c>
      <c r="D87">
        <v>2.19</v>
      </c>
      <c r="E87">
        <v>22.5</v>
      </c>
      <c r="F87">
        <v>108</v>
      </c>
      <c r="G87">
        <v>2</v>
      </c>
      <c r="H87">
        <v>2.09</v>
      </c>
      <c r="I87">
        <v>0.34</v>
      </c>
      <c r="J87">
        <v>1.61</v>
      </c>
      <c r="K87">
        <v>2.06</v>
      </c>
      <c r="L87">
        <v>1.06</v>
      </c>
      <c r="M87">
        <v>2.96</v>
      </c>
      <c r="N87">
        <v>345</v>
      </c>
      <c r="O87">
        <f t="shared" si="5"/>
        <v>1</v>
      </c>
      <c r="P87" cm="1">
        <f t="array" ref="P87">MMULT(B87:N87,$W$10:$W$22)+$W$9</f>
        <v>-0.41039871392965654</v>
      </c>
      <c r="Q87" t="str">
        <f t="shared" si="6"/>
        <v>V2</v>
      </c>
      <c r="R87">
        <f t="shared" si="7"/>
        <v>0</v>
      </c>
      <c r="S87" s="9">
        <f t="shared" si="8"/>
        <v>3.5660890270305536E-2</v>
      </c>
    </row>
    <row r="88" spans="1:19">
      <c r="A88" t="s">
        <v>15</v>
      </c>
      <c r="B88">
        <v>12.77</v>
      </c>
      <c r="C88">
        <v>3.43</v>
      </c>
      <c r="D88">
        <v>1.98</v>
      </c>
      <c r="E88">
        <v>16</v>
      </c>
      <c r="F88">
        <v>80</v>
      </c>
      <c r="G88">
        <v>1.63</v>
      </c>
      <c r="H88">
        <v>1.25</v>
      </c>
      <c r="I88">
        <v>0.43</v>
      </c>
      <c r="J88">
        <v>0.83</v>
      </c>
      <c r="K88">
        <v>3.4</v>
      </c>
      <c r="L88">
        <v>0.7</v>
      </c>
      <c r="M88">
        <v>2.12</v>
      </c>
      <c r="N88">
        <v>372</v>
      </c>
      <c r="O88">
        <f t="shared" si="5"/>
        <v>1</v>
      </c>
      <c r="P88" cm="1">
        <f t="array" ref="P88">MMULT(B88:N88,$W$10:$W$22)+$W$9</f>
        <v>0.29919375471612941</v>
      </c>
      <c r="Q88" t="str">
        <f t="shared" si="6"/>
        <v>V3</v>
      </c>
      <c r="R88">
        <f t="shared" si="7"/>
        <v>1</v>
      </c>
      <c r="S88" s="9">
        <f t="shared" si="8"/>
        <v>0.22709135204586792</v>
      </c>
    </row>
    <row r="89" spans="1:19">
      <c r="A89" t="s">
        <v>15</v>
      </c>
      <c r="B89">
        <v>12.07</v>
      </c>
      <c r="C89">
        <v>2.16</v>
      </c>
      <c r="D89">
        <v>2.17</v>
      </c>
      <c r="E89">
        <v>21</v>
      </c>
      <c r="F89">
        <v>85</v>
      </c>
      <c r="G89">
        <v>2.6</v>
      </c>
      <c r="H89">
        <v>2.65</v>
      </c>
      <c r="I89">
        <v>0.37</v>
      </c>
      <c r="J89">
        <v>1.35</v>
      </c>
      <c r="K89">
        <v>2.76</v>
      </c>
      <c r="L89">
        <v>0.86</v>
      </c>
      <c r="M89">
        <v>3.28</v>
      </c>
      <c r="N89">
        <v>378</v>
      </c>
      <c r="O89">
        <f t="shared" si="5"/>
        <v>1</v>
      </c>
      <c r="P89" cm="1">
        <f t="array" ref="P89">MMULT(B89:N89,$W$10:$W$22)+$W$9</f>
        <v>-0.66315216065418925</v>
      </c>
      <c r="Q89" t="str">
        <f t="shared" si="6"/>
        <v>V1</v>
      </c>
      <c r="R89">
        <f t="shared" si="7"/>
        <v>1</v>
      </c>
      <c r="S89" s="9">
        <f t="shared" si="8"/>
        <v>6.5761268031094625E-2</v>
      </c>
    </row>
    <row r="90" spans="1:19">
      <c r="A90" t="s">
        <v>15</v>
      </c>
      <c r="B90">
        <v>12.43</v>
      </c>
      <c r="C90">
        <v>1.53</v>
      </c>
      <c r="D90">
        <v>2.29</v>
      </c>
      <c r="E90">
        <v>21.5</v>
      </c>
      <c r="F90">
        <v>86</v>
      </c>
      <c r="G90">
        <v>2.74</v>
      </c>
      <c r="H90">
        <v>3.15</v>
      </c>
      <c r="I90">
        <v>0.39</v>
      </c>
      <c r="J90">
        <v>1.77</v>
      </c>
      <c r="K90">
        <v>3.94</v>
      </c>
      <c r="L90">
        <v>0.69</v>
      </c>
      <c r="M90">
        <v>2.84</v>
      </c>
      <c r="N90">
        <v>352</v>
      </c>
      <c r="O90">
        <f t="shared" si="5"/>
        <v>1</v>
      </c>
      <c r="P90" cm="1">
        <f t="array" ref="P90">MMULT(B90:N90,$W$10:$W$22)+$W$9</f>
        <v>-0.74461669393502694</v>
      </c>
      <c r="Q90" t="str">
        <f t="shared" si="6"/>
        <v>V1</v>
      </c>
      <c r="R90">
        <f t="shared" si="7"/>
        <v>1</v>
      </c>
      <c r="S90" s="9">
        <f t="shared" si="8"/>
        <v>3.0616273688801307E-2</v>
      </c>
    </row>
    <row r="91" spans="1:19">
      <c r="A91" t="s">
        <v>15</v>
      </c>
      <c r="B91">
        <v>11.79</v>
      </c>
      <c r="C91">
        <v>2.13</v>
      </c>
      <c r="D91">
        <v>2.78</v>
      </c>
      <c r="E91">
        <v>28.5</v>
      </c>
      <c r="F91">
        <v>92</v>
      </c>
      <c r="G91">
        <v>2.13</v>
      </c>
      <c r="H91">
        <v>2.2400000000000002</v>
      </c>
      <c r="I91">
        <v>0.57999999999999996</v>
      </c>
      <c r="J91">
        <v>1.76</v>
      </c>
      <c r="K91">
        <v>3</v>
      </c>
      <c r="L91">
        <v>0.97</v>
      </c>
      <c r="M91">
        <v>2.44</v>
      </c>
      <c r="N91">
        <v>466</v>
      </c>
      <c r="O91">
        <f t="shared" si="5"/>
        <v>1</v>
      </c>
      <c r="P91" cm="1">
        <f t="array" ref="P91">MMULT(B91:N91,$W$10:$W$22)+$W$9</f>
        <v>-0.3650964062525115</v>
      </c>
      <c r="Q91" t="str">
        <f t="shared" si="6"/>
        <v>V2</v>
      </c>
      <c r="R91">
        <f t="shared" si="7"/>
        <v>0</v>
      </c>
      <c r="S91" s="9">
        <f t="shared" si="8"/>
        <v>2.0603331102214874E-2</v>
      </c>
    </row>
    <row r="92" spans="1:19">
      <c r="A92" t="s">
        <v>16</v>
      </c>
      <c r="B92">
        <v>12.88</v>
      </c>
      <c r="C92">
        <v>2.99</v>
      </c>
      <c r="D92">
        <v>2.4</v>
      </c>
      <c r="E92">
        <v>20</v>
      </c>
      <c r="F92">
        <v>104</v>
      </c>
      <c r="G92">
        <v>1.3</v>
      </c>
      <c r="H92">
        <v>1.22</v>
      </c>
      <c r="I92">
        <v>0.24</v>
      </c>
      <c r="J92">
        <v>0.83</v>
      </c>
      <c r="K92">
        <v>5.4</v>
      </c>
      <c r="L92">
        <v>0.74</v>
      </c>
      <c r="M92">
        <v>1.42</v>
      </c>
      <c r="N92">
        <v>530</v>
      </c>
      <c r="O92">
        <f t="shared" si="5"/>
        <v>2</v>
      </c>
      <c r="P92" cm="1">
        <f t="array" ref="P92">MMULT(B92:N92,$W$10:$W$22)+$W$9</f>
        <v>0.64511886741900337</v>
      </c>
      <c r="Q92" t="str">
        <f t="shared" si="6"/>
        <v>V3</v>
      </c>
      <c r="R92">
        <f t="shared" si="7"/>
        <v>0</v>
      </c>
      <c r="S92" s="9">
        <f t="shared" si="8"/>
        <v>1.7060517514896685E-2</v>
      </c>
    </row>
    <row r="93" spans="1:19">
      <c r="A93" t="s">
        <v>16</v>
      </c>
      <c r="B93">
        <v>12.81</v>
      </c>
      <c r="C93">
        <v>2.31</v>
      </c>
      <c r="D93">
        <v>2.4</v>
      </c>
      <c r="E93">
        <v>24</v>
      </c>
      <c r="F93">
        <v>98</v>
      </c>
      <c r="G93">
        <v>1.1499999999999999</v>
      </c>
      <c r="H93">
        <v>1.0900000000000001</v>
      </c>
      <c r="I93">
        <v>0.27</v>
      </c>
      <c r="J93">
        <v>0.83</v>
      </c>
      <c r="K93">
        <v>5.7</v>
      </c>
      <c r="L93">
        <v>0.66</v>
      </c>
      <c r="M93">
        <v>1.36</v>
      </c>
      <c r="N93">
        <v>560</v>
      </c>
      <c r="O93">
        <f t="shared" si="5"/>
        <v>2</v>
      </c>
      <c r="P93" cm="1">
        <f t="array" ref="P93">MMULT(B93:N93,$W$10:$W$22)+$W$9</f>
        <v>0.7280559324997995</v>
      </c>
      <c r="Q93" t="str">
        <f t="shared" si="6"/>
        <v>V3</v>
      </c>
      <c r="R93">
        <f t="shared" si="7"/>
        <v>0</v>
      </c>
      <c r="S93" s="9">
        <f t="shared" si="8"/>
        <v>2.2732728258435765E-3</v>
      </c>
    </row>
    <row r="94" spans="1:19">
      <c r="A94" t="s">
        <v>16</v>
      </c>
      <c r="B94">
        <v>12.7</v>
      </c>
      <c r="C94">
        <v>3.55</v>
      </c>
      <c r="D94">
        <v>2.36</v>
      </c>
      <c r="E94">
        <v>21.5</v>
      </c>
      <c r="F94">
        <v>106</v>
      </c>
      <c r="G94">
        <v>1.7</v>
      </c>
      <c r="H94">
        <v>1.2</v>
      </c>
      <c r="I94">
        <v>0.17</v>
      </c>
      <c r="J94">
        <v>0.84</v>
      </c>
      <c r="K94">
        <v>5</v>
      </c>
      <c r="L94">
        <v>0.78</v>
      </c>
      <c r="M94">
        <v>1.29</v>
      </c>
      <c r="N94">
        <v>600</v>
      </c>
      <c r="O94">
        <f t="shared" si="5"/>
        <v>2</v>
      </c>
      <c r="P94" cm="1">
        <f t="array" ref="P94">MMULT(B94:N94,$W$10:$W$22)+$W$9</f>
        <v>0.79751871105970285</v>
      </c>
      <c r="Q94" t="str">
        <f t="shared" si="6"/>
        <v>V3</v>
      </c>
      <c r="R94">
        <f t="shared" si="7"/>
        <v>0</v>
      </c>
      <c r="S94" s="9">
        <f t="shared" si="8"/>
        <v>4.7453950305869301E-4</v>
      </c>
    </row>
    <row r="95" spans="1:19">
      <c r="A95" t="s">
        <v>16</v>
      </c>
      <c r="B95">
        <v>12.25</v>
      </c>
      <c r="C95">
        <v>4.72</v>
      </c>
      <c r="D95">
        <v>2.54</v>
      </c>
      <c r="E95">
        <v>21</v>
      </c>
      <c r="F95">
        <v>89</v>
      </c>
      <c r="G95">
        <v>1.38</v>
      </c>
      <c r="H95">
        <v>0.47</v>
      </c>
      <c r="I95">
        <v>0.53</v>
      </c>
      <c r="J95">
        <v>0.8</v>
      </c>
      <c r="K95">
        <v>3.85</v>
      </c>
      <c r="L95">
        <v>0.75</v>
      </c>
      <c r="M95">
        <v>1.27</v>
      </c>
      <c r="N95">
        <v>720</v>
      </c>
      <c r="O95">
        <f t="shared" si="5"/>
        <v>2</v>
      </c>
      <c r="P95" cm="1">
        <f t="array" ref="P95">MMULT(B95:N95,$W$10:$W$22)+$W$9</f>
        <v>0.90361470363756857</v>
      </c>
      <c r="Q95" t="str">
        <f t="shared" si="6"/>
        <v>V3</v>
      </c>
      <c r="R95">
        <f t="shared" si="7"/>
        <v>0</v>
      </c>
      <c r="S95" s="9">
        <f t="shared" si="8"/>
        <v>1.6353273992778774E-2</v>
      </c>
    </row>
    <row r="96" spans="1:19">
      <c r="A96" t="s">
        <v>16</v>
      </c>
      <c r="B96">
        <v>12.53</v>
      </c>
      <c r="C96">
        <v>5.51</v>
      </c>
      <c r="D96">
        <v>2.64</v>
      </c>
      <c r="E96">
        <v>25</v>
      </c>
      <c r="F96">
        <v>96</v>
      </c>
      <c r="G96">
        <v>1.79</v>
      </c>
      <c r="H96">
        <v>0.6</v>
      </c>
      <c r="I96">
        <v>0.63</v>
      </c>
      <c r="J96">
        <v>1.1000000000000001</v>
      </c>
      <c r="K96">
        <v>5</v>
      </c>
      <c r="L96">
        <v>0.82</v>
      </c>
      <c r="M96">
        <v>1.69</v>
      </c>
      <c r="N96">
        <v>515</v>
      </c>
      <c r="O96">
        <f t="shared" si="5"/>
        <v>2</v>
      </c>
      <c r="P96" cm="1">
        <f t="array" ref="P96">MMULT(B96:N96,$W$10:$W$22)+$W$9</f>
        <v>0.7518174456288147</v>
      </c>
      <c r="Q96" t="str">
        <f t="shared" si="6"/>
        <v>V3</v>
      </c>
      <c r="R96">
        <f t="shared" si="7"/>
        <v>0</v>
      </c>
      <c r="S96" s="9">
        <f t="shared" si="8"/>
        <v>5.7203904740535979E-4</v>
      </c>
    </row>
    <row r="97" spans="1:19">
      <c r="A97" t="s">
        <v>16</v>
      </c>
      <c r="B97">
        <v>13.49</v>
      </c>
      <c r="C97">
        <v>3.59</v>
      </c>
      <c r="D97">
        <v>2.19</v>
      </c>
      <c r="E97">
        <v>19.5</v>
      </c>
      <c r="F97">
        <v>88</v>
      </c>
      <c r="G97">
        <v>1.62</v>
      </c>
      <c r="H97">
        <v>0.48</v>
      </c>
      <c r="I97">
        <v>0.57999999999999996</v>
      </c>
      <c r="J97">
        <v>0.88</v>
      </c>
      <c r="K97">
        <v>5.7</v>
      </c>
      <c r="L97">
        <v>0.81</v>
      </c>
      <c r="M97">
        <v>1.82</v>
      </c>
      <c r="N97">
        <v>580</v>
      </c>
      <c r="O97">
        <f t="shared" si="5"/>
        <v>2</v>
      </c>
      <c r="P97" cm="1">
        <f t="array" ref="P97">MMULT(B97:N97,$W$10:$W$22)+$W$9</f>
        <v>0.70384732285597185</v>
      </c>
      <c r="Q97" t="str">
        <f t="shared" si="6"/>
        <v>V3</v>
      </c>
      <c r="R97">
        <f t="shared" si="7"/>
        <v>0</v>
      </c>
      <c r="S97" s="9">
        <f t="shared" si="8"/>
        <v>5.1678069875099961E-3</v>
      </c>
    </row>
    <row r="98" spans="1:19">
      <c r="A98" t="s">
        <v>16</v>
      </c>
      <c r="B98">
        <v>12.93</v>
      </c>
      <c r="C98">
        <v>2.81</v>
      </c>
      <c r="D98">
        <v>2.7</v>
      </c>
      <c r="E98">
        <v>21</v>
      </c>
      <c r="F98">
        <v>96</v>
      </c>
      <c r="G98">
        <v>1.54</v>
      </c>
      <c r="H98">
        <v>0.5</v>
      </c>
      <c r="I98">
        <v>0.53</v>
      </c>
      <c r="J98">
        <v>0.75</v>
      </c>
      <c r="K98">
        <v>4.5999999999999996</v>
      </c>
      <c r="L98">
        <v>0.77</v>
      </c>
      <c r="M98">
        <v>2.31</v>
      </c>
      <c r="N98">
        <v>600</v>
      </c>
      <c r="O98">
        <f t="shared" ref="O98:O127" si="9">IF(A98=V$2,U$2,IF(A98=V$3,U$3,U$4))</f>
        <v>2</v>
      </c>
      <c r="P98" cm="1">
        <f t="array" ref="P98">MMULT(B98:N98,$W$10:$W$22)+$W$9</f>
        <v>0.56892993872899922</v>
      </c>
      <c r="Q98" t="str">
        <f t="shared" si="6"/>
        <v>V3</v>
      </c>
      <c r="R98">
        <f t="shared" si="7"/>
        <v>0</v>
      </c>
      <c r="S98" s="9">
        <f t="shared" si="8"/>
        <v>4.2768243791021253E-2</v>
      </c>
    </row>
    <row r="99" spans="1:19">
      <c r="A99" t="s">
        <v>16</v>
      </c>
      <c r="B99">
        <v>13.36</v>
      </c>
      <c r="C99">
        <v>2.56</v>
      </c>
      <c r="D99">
        <v>2.35</v>
      </c>
      <c r="E99">
        <v>20</v>
      </c>
      <c r="F99">
        <v>89</v>
      </c>
      <c r="G99">
        <v>1.4</v>
      </c>
      <c r="H99">
        <v>0.5</v>
      </c>
      <c r="I99">
        <v>0.37</v>
      </c>
      <c r="J99">
        <v>0.64</v>
      </c>
      <c r="K99">
        <v>5.6</v>
      </c>
      <c r="L99">
        <v>0.7</v>
      </c>
      <c r="M99">
        <v>2.4700000000000002</v>
      </c>
      <c r="N99">
        <v>780</v>
      </c>
      <c r="O99">
        <f t="shared" si="9"/>
        <v>2</v>
      </c>
      <c r="P99" cm="1">
        <f t="array" ref="P99">MMULT(B99:N99,$W$10:$W$22)+$W$9</f>
        <v>0.58066944349277039</v>
      </c>
      <c r="Q99" t="str">
        <f t="shared" si="6"/>
        <v>V3</v>
      </c>
      <c r="R99">
        <f t="shared" si="7"/>
        <v>0</v>
      </c>
      <c r="S99" s="9">
        <f t="shared" si="8"/>
        <v>3.8050486844087641E-2</v>
      </c>
    </row>
    <row r="100" spans="1:19">
      <c r="A100" t="s">
        <v>16</v>
      </c>
      <c r="B100">
        <v>13.52</v>
      </c>
      <c r="C100">
        <v>3.17</v>
      </c>
      <c r="D100">
        <v>2.72</v>
      </c>
      <c r="E100">
        <v>23.5</v>
      </c>
      <c r="F100">
        <v>97</v>
      </c>
      <c r="G100">
        <v>1.55</v>
      </c>
      <c r="H100">
        <v>0.52</v>
      </c>
      <c r="I100">
        <v>0.5</v>
      </c>
      <c r="J100">
        <v>0.55000000000000004</v>
      </c>
      <c r="K100">
        <v>4.3499999999999996</v>
      </c>
      <c r="L100">
        <v>0.89</v>
      </c>
      <c r="M100">
        <v>2.06</v>
      </c>
      <c r="N100">
        <v>520</v>
      </c>
      <c r="O100">
        <f t="shared" si="9"/>
        <v>2</v>
      </c>
      <c r="P100" cm="1">
        <f t="array" ref="P100">MMULT(B100:N100,$W$10:$W$22)+$W$9</f>
        <v>0.61080637555918216</v>
      </c>
      <c r="Q100" t="str">
        <f t="shared" si="6"/>
        <v>V3</v>
      </c>
      <c r="R100">
        <f t="shared" si="7"/>
        <v>0</v>
      </c>
      <c r="S100" s="9">
        <f t="shared" si="8"/>
        <v>2.7201379722177763E-2</v>
      </c>
    </row>
    <row r="101" spans="1:19">
      <c r="A101" t="s">
        <v>16</v>
      </c>
      <c r="B101">
        <v>13.62</v>
      </c>
      <c r="C101">
        <v>4.95</v>
      </c>
      <c r="D101">
        <v>2.35</v>
      </c>
      <c r="E101">
        <v>20</v>
      </c>
      <c r="F101">
        <v>92</v>
      </c>
      <c r="G101">
        <v>2</v>
      </c>
      <c r="H101">
        <v>0.8</v>
      </c>
      <c r="I101">
        <v>0.47</v>
      </c>
      <c r="J101">
        <v>1.02</v>
      </c>
      <c r="K101">
        <v>4.4000000000000004</v>
      </c>
      <c r="L101">
        <v>0.91</v>
      </c>
      <c r="M101">
        <v>2.0499999999999998</v>
      </c>
      <c r="N101">
        <v>550</v>
      </c>
      <c r="O101">
        <f t="shared" si="9"/>
        <v>2</v>
      </c>
      <c r="P101" cm="1">
        <f t="array" ref="P101">MMULT(B101:N101,$W$10:$W$22)+$W$9</f>
        <v>0.53097820915562632</v>
      </c>
      <c r="Q101" t="str">
        <f t="shared" si="6"/>
        <v>V3</v>
      </c>
      <c r="R101">
        <f t="shared" si="7"/>
        <v>0</v>
      </c>
      <c r="S101" s="9">
        <f t="shared" si="8"/>
        <v>5.9905780649599359E-2</v>
      </c>
    </row>
    <row r="102" spans="1:19">
      <c r="A102" t="s">
        <v>16</v>
      </c>
      <c r="B102">
        <v>13.16</v>
      </c>
      <c r="C102">
        <v>3.57</v>
      </c>
      <c r="D102">
        <v>2.15</v>
      </c>
      <c r="E102">
        <v>21</v>
      </c>
      <c r="F102">
        <v>102</v>
      </c>
      <c r="G102">
        <v>1.5</v>
      </c>
      <c r="H102">
        <v>0.55000000000000004</v>
      </c>
      <c r="I102">
        <v>0.43</v>
      </c>
      <c r="J102">
        <v>1.3</v>
      </c>
      <c r="K102">
        <v>4</v>
      </c>
      <c r="L102">
        <v>0.6</v>
      </c>
      <c r="M102">
        <v>1.68</v>
      </c>
      <c r="N102">
        <v>830</v>
      </c>
      <c r="O102">
        <f t="shared" si="9"/>
        <v>2</v>
      </c>
      <c r="P102" cm="1">
        <f t="array" ref="P102">MMULT(B102:N102,$W$10:$W$22)+$W$9</f>
        <v>0.73929359763725433</v>
      </c>
      <c r="Q102" t="str">
        <f t="shared" si="6"/>
        <v>V3</v>
      </c>
      <c r="R102">
        <f t="shared" si="7"/>
        <v>0</v>
      </c>
      <c r="S102" s="9">
        <f t="shared" si="8"/>
        <v>1.3279600218432954E-3</v>
      </c>
    </row>
    <row r="103" spans="1:19">
      <c r="A103" t="s">
        <v>16</v>
      </c>
      <c r="B103">
        <v>13.88</v>
      </c>
      <c r="C103">
        <v>5.04</v>
      </c>
      <c r="D103">
        <v>2.23</v>
      </c>
      <c r="E103">
        <v>20</v>
      </c>
      <c r="F103">
        <v>80</v>
      </c>
      <c r="G103">
        <v>0.98</v>
      </c>
      <c r="H103">
        <v>0.34</v>
      </c>
      <c r="I103">
        <v>0.4</v>
      </c>
      <c r="J103">
        <v>0.68</v>
      </c>
      <c r="K103">
        <v>4.9000000000000004</v>
      </c>
      <c r="L103">
        <v>0.57999999999999996</v>
      </c>
      <c r="M103">
        <v>1.33</v>
      </c>
      <c r="N103">
        <v>415</v>
      </c>
      <c r="O103">
        <f t="shared" si="9"/>
        <v>2</v>
      </c>
      <c r="P103" cm="1">
        <f t="array" ref="P103">MMULT(B103:N103,$W$10:$W$22)+$W$9</f>
        <v>0.99565512638795606</v>
      </c>
      <c r="Q103" t="str">
        <f t="shared" si="6"/>
        <v>V3</v>
      </c>
      <c r="R103">
        <f t="shared" si="7"/>
        <v>0</v>
      </c>
      <c r="S103" s="9">
        <f t="shared" si="8"/>
        <v>4.836495724757852E-2</v>
      </c>
    </row>
    <row r="104" spans="1:19">
      <c r="A104" t="s">
        <v>16</v>
      </c>
      <c r="B104">
        <v>12.87</v>
      </c>
      <c r="C104">
        <v>4.6100000000000003</v>
      </c>
      <c r="D104">
        <v>2.48</v>
      </c>
      <c r="E104">
        <v>21.5</v>
      </c>
      <c r="F104">
        <v>86</v>
      </c>
      <c r="G104">
        <v>1.7</v>
      </c>
      <c r="H104">
        <v>0.65</v>
      </c>
      <c r="I104">
        <v>0.47</v>
      </c>
      <c r="J104">
        <v>0.86</v>
      </c>
      <c r="K104">
        <v>7.65</v>
      </c>
      <c r="L104">
        <v>0.54</v>
      </c>
      <c r="M104">
        <v>1.86</v>
      </c>
      <c r="N104">
        <v>625</v>
      </c>
      <c r="O104">
        <f t="shared" si="9"/>
        <v>2</v>
      </c>
      <c r="P104" cm="1">
        <f t="array" ref="P104">MMULT(B104:N104,$W$10:$W$22)+$W$9</f>
        <v>0.85503940098719267</v>
      </c>
      <c r="Q104" t="str">
        <f t="shared" si="6"/>
        <v>V3</v>
      </c>
      <c r="R104">
        <f t="shared" si="7"/>
        <v>0</v>
      </c>
      <c r="S104" s="9">
        <f t="shared" si="8"/>
        <v>6.2892223661931588E-3</v>
      </c>
    </row>
    <row r="105" spans="1:19">
      <c r="A105" t="s">
        <v>16</v>
      </c>
      <c r="B105">
        <v>13.32</v>
      </c>
      <c r="C105">
        <v>3.24</v>
      </c>
      <c r="D105">
        <v>2.38</v>
      </c>
      <c r="E105">
        <v>21.5</v>
      </c>
      <c r="F105">
        <v>92</v>
      </c>
      <c r="G105">
        <v>1.93</v>
      </c>
      <c r="H105">
        <v>0.76</v>
      </c>
      <c r="I105">
        <v>0.45</v>
      </c>
      <c r="J105">
        <v>1.25</v>
      </c>
      <c r="K105">
        <v>8.42</v>
      </c>
      <c r="L105">
        <v>0.55000000000000004</v>
      </c>
      <c r="M105">
        <v>1.62</v>
      </c>
      <c r="N105">
        <v>650</v>
      </c>
      <c r="O105">
        <f t="shared" si="9"/>
        <v>2</v>
      </c>
      <c r="P105" cm="1">
        <f t="array" ref="P105">MMULT(B105:N105,$W$10:$W$22)+$W$9</f>
        <v>0.90151894663298204</v>
      </c>
      <c r="Q105" t="str">
        <f t="shared" si="6"/>
        <v>V3</v>
      </c>
      <c r="R105">
        <f t="shared" si="7"/>
        <v>0</v>
      </c>
      <c r="S105" s="9">
        <f t="shared" si="8"/>
        <v>1.582165571315115E-2</v>
      </c>
    </row>
    <row r="106" spans="1:19">
      <c r="A106" t="s">
        <v>16</v>
      </c>
      <c r="B106">
        <v>13.08</v>
      </c>
      <c r="C106">
        <v>3.9</v>
      </c>
      <c r="D106">
        <v>2.36</v>
      </c>
      <c r="E106">
        <v>21.5</v>
      </c>
      <c r="F106">
        <v>113</v>
      </c>
      <c r="G106">
        <v>1.41</v>
      </c>
      <c r="H106">
        <v>1.39</v>
      </c>
      <c r="I106">
        <v>0.34</v>
      </c>
      <c r="J106">
        <v>1.1399999999999999</v>
      </c>
      <c r="K106">
        <v>9.4</v>
      </c>
      <c r="L106">
        <v>0.56999999999999995</v>
      </c>
      <c r="M106">
        <v>1.33</v>
      </c>
      <c r="N106">
        <v>550</v>
      </c>
      <c r="O106">
        <f t="shared" si="9"/>
        <v>2</v>
      </c>
      <c r="P106" cm="1">
        <f t="array" ref="P106">MMULT(B106:N106,$W$10:$W$22)+$W$9</f>
        <v>0.67287641115271013</v>
      </c>
      <c r="Q106" t="str">
        <f t="shared" si="6"/>
        <v>V3</v>
      </c>
      <c r="R106">
        <f t="shared" si="7"/>
        <v>0</v>
      </c>
      <c r="S106" s="9">
        <f t="shared" si="8"/>
        <v>1.0579844747143716E-2</v>
      </c>
    </row>
    <row r="107" spans="1:19">
      <c r="A107" t="s">
        <v>16</v>
      </c>
      <c r="B107">
        <v>13.5</v>
      </c>
      <c r="C107">
        <v>3.12</v>
      </c>
      <c r="D107">
        <v>2.62</v>
      </c>
      <c r="E107">
        <v>24</v>
      </c>
      <c r="F107">
        <v>123</v>
      </c>
      <c r="G107">
        <v>1.4</v>
      </c>
      <c r="H107">
        <v>1.57</v>
      </c>
      <c r="I107">
        <v>0.22</v>
      </c>
      <c r="J107">
        <v>1.25</v>
      </c>
      <c r="K107">
        <v>8.6</v>
      </c>
      <c r="L107">
        <v>0.59</v>
      </c>
      <c r="M107">
        <v>1.3</v>
      </c>
      <c r="N107">
        <v>500</v>
      </c>
      <c r="O107">
        <f t="shared" si="9"/>
        <v>2</v>
      </c>
      <c r="P107" cm="1">
        <f t="array" ref="P107">MMULT(B107:N107,$W$10:$W$22)+$W$9</f>
        <v>0.61583263659497245</v>
      </c>
      <c r="Q107" t="str">
        <f t="shared" si="6"/>
        <v>V3</v>
      </c>
      <c r="R107">
        <f t="shared" si="7"/>
        <v>0</v>
      </c>
      <c r="S107" s="9">
        <f t="shared" si="8"/>
        <v>2.5568696561844677E-2</v>
      </c>
    </row>
    <row r="108" spans="1:19">
      <c r="A108" t="s">
        <v>16</v>
      </c>
      <c r="B108">
        <v>12.79</v>
      </c>
      <c r="C108">
        <v>2.67</v>
      </c>
      <c r="D108">
        <v>2.48</v>
      </c>
      <c r="E108">
        <v>22</v>
      </c>
      <c r="F108">
        <v>112</v>
      </c>
      <c r="G108">
        <v>1.48</v>
      </c>
      <c r="H108">
        <v>1.36</v>
      </c>
      <c r="I108">
        <v>0.24</v>
      </c>
      <c r="J108">
        <v>1.26</v>
      </c>
      <c r="K108">
        <v>10.8</v>
      </c>
      <c r="L108">
        <v>0.48</v>
      </c>
      <c r="M108">
        <v>1.47</v>
      </c>
      <c r="N108">
        <v>480</v>
      </c>
      <c r="O108">
        <f t="shared" si="9"/>
        <v>2</v>
      </c>
      <c r="P108" cm="1">
        <f t="array" ref="P108">MMULT(B108:N108,$W$10:$W$22)+$W$9</f>
        <v>0.83335964022857079</v>
      </c>
      <c r="Q108" t="str">
        <f t="shared" si="6"/>
        <v>V3</v>
      </c>
      <c r="R108">
        <f t="shared" si="7"/>
        <v>0</v>
      </c>
      <c r="S108" s="9">
        <f t="shared" si="8"/>
        <v>3.3206241212741902E-3</v>
      </c>
    </row>
    <row r="109" spans="1:19">
      <c r="A109" t="s">
        <v>16</v>
      </c>
      <c r="B109">
        <v>13.11</v>
      </c>
      <c r="C109">
        <v>1.9</v>
      </c>
      <c r="D109">
        <v>2.75</v>
      </c>
      <c r="E109">
        <v>25.5</v>
      </c>
      <c r="F109">
        <v>116</v>
      </c>
      <c r="G109">
        <v>2.2000000000000002</v>
      </c>
      <c r="H109">
        <v>1.28</v>
      </c>
      <c r="I109">
        <v>0.26</v>
      </c>
      <c r="J109">
        <v>1.56</v>
      </c>
      <c r="K109">
        <v>7.1</v>
      </c>
      <c r="L109">
        <v>0.61</v>
      </c>
      <c r="M109">
        <v>1.33</v>
      </c>
      <c r="N109">
        <v>425</v>
      </c>
      <c r="O109">
        <f t="shared" si="9"/>
        <v>2</v>
      </c>
      <c r="P109" cm="1">
        <f t="array" ref="P109">MMULT(B109:N109,$W$10:$W$22)+$W$9</f>
        <v>0.88183673318246392</v>
      </c>
      <c r="Q109" t="str">
        <f t="shared" si="6"/>
        <v>V3</v>
      </c>
      <c r="R109">
        <f t="shared" si="7"/>
        <v>0</v>
      </c>
      <c r="S109" s="9">
        <f t="shared" si="8"/>
        <v>1.1257623741676508E-2</v>
      </c>
    </row>
    <row r="110" spans="1:19">
      <c r="A110" t="s">
        <v>16</v>
      </c>
      <c r="B110">
        <v>12.58</v>
      </c>
      <c r="C110">
        <v>1.29</v>
      </c>
      <c r="D110">
        <v>2.1</v>
      </c>
      <c r="E110">
        <v>20</v>
      </c>
      <c r="F110">
        <v>103</v>
      </c>
      <c r="G110">
        <v>1.48</v>
      </c>
      <c r="H110">
        <v>0.57999999999999996</v>
      </c>
      <c r="I110">
        <v>0.53</v>
      </c>
      <c r="J110">
        <v>1.4</v>
      </c>
      <c r="K110">
        <v>7.6</v>
      </c>
      <c r="L110">
        <v>0.57999999999999996</v>
      </c>
      <c r="M110">
        <v>1.55</v>
      </c>
      <c r="N110">
        <v>640</v>
      </c>
      <c r="O110">
        <f t="shared" si="9"/>
        <v>2</v>
      </c>
      <c r="P110" cm="1">
        <f t="array" ref="P110">MMULT(B110:N110,$W$10:$W$22)+$W$9</f>
        <v>0.88863993467776603</v>
      </c>
      <c r="Q110" t="str">
        <f t="shared" si="6"/>
        <v>V3</v>
      </c>
      <c r="R110">
        <f t="shared" si="7"/>
        <v>0</v>
      </c>
      <c r="S110" s="9">
        <f t="shared" si="8"/>
        <v>1.2747573178708838E-2</v>
      </c>
    </row>
    <row r="111" spans="1:19">
      <c r="A111" t="s">
        <v>16</v>
      </c>
      <c r="B111">
        <v>13.17</v>
      </c>
      <c r="C111">
        <v>5.19</v>
      </c>
      <c r="D111">
        <v>2.3199999999999998</v>
      </c>
      <c r="E111">
        <v>22</v>
      </c>
      <c r="F111">
        <v>93</v>
      </c>
      <c r="G111">
        <v>1.74</v>
      </c>
      <c r="H111">
        <v>0.63</v>
      </c>
      <c r="I111">
        <v>0.61</v>
      </c>
      <c r="J111">
        <v>1.55</v>
      </c>
      <c r="K111">
        <v>7.9</v>
      </c>
      <c r="L111">
        <v>0.6</v>
      </c>
      <c r="M111">
        <v>1.48</v>
      </c>
      <c r="N111">
        <v>725</v>
      </c>
      <c r="O111">
        <f t="shared" si="9"/>
        <v>2</v>
      </c>
      <c r="P111" cm="1">
        <f t="array" ref="P111">MMULT(B111:N111,$W$10:$W$22)+$W$9</f>
        <v>0.84794487110967931</v>
      </c>
      <c r="Q111" t="str">
        <f t="shared" si="6"/>
        <v>V3</v>
      </c>
      <c r="R111">
        <f t="shared" si="7"/>
        <v>0</v>
      </c>
      <c r="S111" s="9">
        <f t="shared" si="8"/>
        <v>5.2142967629806528E-3</v>
      </c>
    </row>
    <row r="112" spans="1:19">
      <c r="A112" t="s">
        <v>16</v>
      </c>
      <c r="B112">
        <v>13.84</v>
      </c>
      <c r="C112">
        <v>4.12</v>
      </c>
      <c r="D112">
        <v>2.38</v>
      </c>
      <c r="E112">
        <v>19.5</v>
      </c>
      <c r="F112">
        <v>89</v>
      </c>
      <c r="G112">
        <v>1.8</v>
      </c>
      <c r="H112">
        <v>0.83</v>
      </c>
      <c r="I112">
        <v>0.48</v>
      </c>
      <c r="J112">
        <v>1.56</v>
      </c>
      <c r="K112">
        <v>9.01</v>
      </c>
      <c r="L112">
        <v>0.56999999999999995</v>
      </c>
      <c r="M112">
        <v>1.64</v>
      </c>
      <c r="N112">
        <v>480</v>
      </c>
      <c r="O112">
        <f t="shared" si="9"/>
        <v>2</v>
      </c>
      <c r="P112" cm="1">
        <f t="array" ref="P112">MMULT(B112:N112,$W$10:$W$22)+$W$9</f>
        <v>0.82948127515166337</v>
      </c>
      <c r="Q112" t="str">
        <f t="shared" si="6"/>
        <v>V3</v>
      </c>
      <c r="R112">
        <f t="shared" si="7"/>
        <v>0</v>
      </c>
      <c r="S112" s="9">
        <f t="shared" si="8"/>
        <v>2.8886853725905303E-3</v>
      </c>
    </row>
    <row r="113" spans="1:19">
      <c r="A113" t="s">
        <v>16</v>
      </c>
      <c r="B113">
        <v>14.34</v>
      </c>
      <c r="C113">
        <v>1.68</v>
      </c>
      <c r="D113">
        <v>2.7</v>
      </c>
      <c r="E113">
        <v>25</v>
      </c>
      <c r="F113">
        <v>98</v>
      </c>
      <c r="G113">
        <v>2.8</v>
      </c>
      <c r="H113">
        <v>1.31</v>
      </c>
      <c r="I113">
        <v>0.53</v>
      </c>
      <c r="J113">
        <v>2.7</v>
      </c>
      <c r="K113">
        <v>13</v>
      </c>
      <c r="L113">
        <v>0.56999999999999995</v>
      </c>
      <c r="M113">
        <v>1.96</v>
      </c>
      <c r="N113">
        <v>660</v>
      </c>
      <c r="O113">
        <f t="shared" si="9"/>
        <v>2</v>
      </c>
      <c r="P113" cm="1">
        <f t="array" ref="P113">MMULT(B113:N113,$W$10:$W$22)+$W$9</f>
        <v>0.66599411316054891</v>
      </c>
      <c r="Q113" t="str">
        <f t="shared" si="6"/>
        <v>V3</v>
      </c>
      <c r="R113">
        <f t="shared" si="7"/>
        <v>0</v>
      </c>
      <c r="S113" s="9">
        <f t="shared" si="8"/>
        <v>1.2043014710772465E-2</v>
      </c>
    </row>
    <row r="114" spans="1:19">
      <c r="A114" t="s">
        <v>16</v>
      </c>
      <c r="B114">
        <v>13.48</v>
      </c>
      <c r="C114">
        <v>1.67</v>
      </c>
      <c r="D114">
        <v>2.64</v>
      </c>
      <c r="E114">
        <v>22.5</v>
      </c>
      <c r="F114">
        <v>89</v>
      </c>
      <c r="G114">
        <v>2.6</v>
      </c>
      <c r="H114">
        <v>1.1000000000000001</v>
      </c>
      <c r="I114">
        <v>0.52</v>
      </c>
      <c r="J114">
        <v>2.29</v>
      </c>
      <c r="K114">
        <v>11.75</v>
      </c>
      <c r="L114">
        <v>0.56999999999999995</v>
      </c>
      <c r="M114">
        <v>1.78</v>
      </c>
      <c r="N114">
        <v>620</v>
      </c>
      <c r="O114">
        <f t="shared" si="9"/>
        <v>2</v>
      </c>
      <c r="P114" cm="1">
        <f t="array" ref="P114">MMULT(B114:N114,$W$10:$W$22)+$W$9</f>
        <v>0.84213003064851488</v>
      </c>
      <c r="Q114" t="str">
        <f t="shared" si="6"/>
        <v>V3</v>
      </c>
      <c r="R114">
        <f t="shared" si="7"/>
        <v>0</v>
      </c>
      <c r="S114" s="9">
        <f t="shared" si="8"/>
        <v>4.4083288534593488E-3</v>
      </c>
    </row>
    <row r="115" spans="1:19">
      <c r="A115" t="s">
        <v>16</v>
      </c>
      <c r="B115">
        <v>12.36</v>
      </c>
      <c r="C115">
        <v>3.83</v>
      </c>
      <c r="D115">
        <v>2.38</v>
      </c>
      <c r="E115">
        <v>21</v>
      </c>
      <c r="F115">
        <v>88</v>
      </c>
      <c r="G115">
        <v>2.2999999999999998</v>
      </c>
      <c r="H115">
        <v>0.92</v>
      </c>
      <c r="I115">
        <v>0.5</v>
      </c>
      <c r="J115">
        <v>1.04</v>
      </c>
      <c r="K115">
        <v>7.65</v>
      </c>
      <c r="L115">
        <v>0.56000000000000005</v>
      </c>
      <c r="M115">
        <v>1.58</v>
      </c>
      <c r="N115">
        <v>520</v>
      </c>
      <c r="O115">
        <f t="shared" si="9"/>
        <v>2</v>
      </c>
      <c r="P115" cm="1">
        <f t="array" ref="P115">MMULT(B115:N115,$W$10:$W$22)+$W$9</f>
        <v>0.91874878056526144</v>
      </c>
      <c r="Q115" t="str">
        <f t="shared" si="6"/>
        <v>V3</v>
      </c>
      <c r="R115">
        <f t="shared" si="7"/>
        <v>0</v>
      </c>
      <c r="S115" s="9">
        <f t="shared" si="8"/>
        <v>2.0453003377146596E-2</v>
      </c>
    </row>
    <row r="116" spans="1:19">
      <c r="A116" t="s">
        <v>16</v>
      </c>
      <c r="B116">
        <v>13.69</v>
      </c>
      <c r="C116">
        <v>3.26</v>
      </c>
      <c r="D116">
        <v>2.54</v>
      </c>
      <c r="E116">
        <v>20</v>
      </c>
      <c r="F116">
        <v>107</v>
      </c>
      <c r="G116">
        <v>1.83</v>
      </c>
      <c r="H116">
        <v>0.56000000000000005</v>
      </c>
      <c r="I116">
        <v>0.5</v>
      </c>
      <c r="J116">
        <v>0.8</v>
      </c>
      <c r="K116">
        <v>5.88</v>
      </c>
      <c r="L116">
        <v>0.96</v>
      </c>
      <c r="M116">
        <v>1.82</v>
      </c>
      <c r="N116">
        <v>680</v>
      </c>
      <c r="O116">
        <f t="shared" si="9"/>
        <v>2</v>
      </c>
      <c r="P116" cm="1">
        <f t="array" ref="P116">MMULT(B116:N116,$W$10:$W$22)+$W$9</f>
        <v>0.68878838684267096</v>
      </c>
      <c r="Q116" t="str">
        <f t="shared" si="6"/>
        <v>V3</v>
      </c>
      <c r="R116">
        <f t="shared" si="7"/>
        <v>0</v>
      </c>
      <c r="S116" s="9">
        <f t="shared" si="8"/>
        <v>7.5596758791915721E-3</v>
      </c>
    </row>
    <row r="117" spans="1:19">
      <c r="A117" t="s">
        <v>16</v>
      </c>
      <c r="B117">
        <v>12.85</v>
      </c>
      <c r="C117">
        <v>3.27</v>
      </c>
      <c r="D117">
        <v>2.58</v>
      </c>
      <c r="E117">
        <v>22</v>
      </c>
      <c r="F117">
        <v>106</v>
      </c>
      <c r="G117">
        <v>1.65</v>
      </c>
      <c r="H117">
        <v>0.6</v>
      </c>
      <c r="I117">
        <v>0.6</v>
      </c>
      <c r="J117">
        <v>0.96</v>
      </c>
      <c r="K117">
        <v>5.58</v>
      </c>
      <c r="L117">
        <v>0.87</v>
      </c>
      <c r="M117">
        <v>2.11</v>
      </c>
      <c r="N117">
        <v>570</v>
      </c>
      <c r="O117">
        <f t="shared" si="9"/>
        <v>2</v>
      </c>
      <c r="P117" cm="1">
        <f t="array" ref="P117">MMULT(B117:N117,$W$10:$W$22)+$W$9</f>
        <v>0.56550389218953168</v>
      </c>
      <c r="Q117" t="str">
        <f t="shared" si="6"/>
        <v>V3</v>
      </c>
      <c r="R117">
        <f t="shared" si="7"/>
        <v>0</v>
      </c>
      <c r="S117" s="9">
        <f t="shared" si="8"/>
        <v>4.4197027630964836E-2</v>
      </c>
    </row>
    <row r="118" spans="1:19">
      <c r="A118" t="s">
        <v>16</v>
      </c>
      <c r="B118">
        <v>12.96</v>
      </c>
      <c r="C118">
        <v>3.45</v>
      </c>
      <c r="D118">
        <v>2.35</v>
      </c>
      <c r="E118">
        <v>18.5</v>
      </c>
      <c r="F118">
        <v>106</v>
      </c>
      <c r="G118">
        <v>1.39</v>
      </c>
      <c r="H118">
        <v>0.7</v>
      </c>
      <c r="I118">
        <v>0.4</v>
      </c>
      <c r="J118">
        <v>0.94</v>
      </c>
      <c r="K118">
        <v>5.28</v>
      </c>
      <c r="L118">
        <v>0.68</v>
      </c>
      <c r="M118">
        <v>1.75</v>
      </c>
      <c r="N118">
        <v>675</v>
      </c>
      <c r="O118">
        <f t="shared" si="9"/>
        <v>2</v>
      </c>
      <c r="P118" cm="1">
        <f t="array" ref="P118">MMULT(B118:N118,$W$10:$W$22)+$W$9</f>
        <v>0.70368224861663808</v>
      </c>
      <c r="Q118" t="str">
        <f t="shared" si="6"/>
        <v>V3</v>
      </c>
      <c r="R118">
        <f t="shared" si="7"/>
        <v>0</v>
      </c>
      <c r="S118" s="9">
        <f t="shared" si="8"/>
        <v>5.1915677727576489E-3</v>
      </c>
    </row>
    <row r="119" spans="1:19">
      <c r="A119" t="s">
        <v>16</v>
      </c>
      <c r="B119">
        <v>13.73</v>
      </c>
      <c r="C119">
        <v>4.3600000000000003</v>
      </c>
      <c r="D119">
        <v>2.2599999999999998</v>
      </c>
      <c r="E119">
        <v>22.5</v>
      </c>
      <c r="F119">
        <v>88</v>
      </c>
      <c r="G119">
        <v>1.28</v>
      </c>
      <c r="H119">
        <v>0.47</v>
      </c>
      <c r="I119">
        <v>0.52</v>
      </c>
      <c r="J119">
        <v>1.1499999999999999</v>
      </c>
      <c r="K119">
        <v>6.62</v>
      </c>
      <c r="L119">
        <v>0.78</v>
      </c>
      <c r="M119">
        <v>1.75</v>
      </c>
      <c r="N119">
        <v>520</v>
      </c>
      <c r="O119">
        <f t="shared" si="9"/>
        <v>2</v>
      </c>
      <c r="P119" cm="1">
        <f t="array" ref="P119">MMULT(B119:N119,$W$10:$W$22)+$W$9</f>
        <v>0.76446010287036326</v>
      </c>
      <c r="Q119" t="str">
        <f t="shared" si="6"/>
        <v>V3</v>
      </c>
      <c r="R119">
        <f t="shared" si="7"/>
        <v>0</v>
      </c>
      <c r="S119" s="9">
        <f t="shared" si="8"/>
        <v>1.2711842167911921E-4</v>
      </c>
    </row>
    <row r="120" spans="1:19">
      <c r="A120" t="s">
        <v>16</v>
      </c>
      <c r="B120">
        <v>12.82</v>
      </c>
      <c r="C120">
        <v>3.37</v>
      </c>
      <c r="D120">
        <v>2.2999999999999998</v>
      </c>
      <c r="E120">
        <v>19.5</v>
      </c>
      <c r="F120">
        <v>88</v>
      </c>
      <c r="G120">
        <v>1.48</v>
      </c>
      <c r="H120">
        <v>0.66</v>
      </c>
      <c r="I120">
        <v>0.4</v>
      </c>
      <c r="J120">
        <v>0.97</v>
      </c>
      <c r="K120">
        <v>10.26</v>
      </c>
      <c r="L120">
        <v>0.72</v>
      </c>
      <c r="M120">
        <v>1.75</v>
      </c>
      <c r="N120">
        <v>685</v>
      </c>
      <c r="O120">
        <f t="shared" si="9"/>
        <v>2</v>
      </c>
      <c r="P120" cm="1">
        <f t="array" ref="P120">MMULT(B120:N120,$W$10:$W$22)+$W$9</f>
        <v>0.93506227318126722</v>
      </c>
      <c r="Q120" t="str">
        <f t="shared" si="6"/>
        <v>V3</v>
      </c>
      <c r="R120">
        <f t="shared" si="7"/>
        <v>0</v>
      </c>
      <c r="S120" s="9">
        <f t="shared" si="8"/>
        <v>2.538524899104402E-2</v>
      </c>
    </row>
    <row r="121" spans="1:19">
      <c r="A121" t="s">
        <v>16</v>
      </c>
      <c r="B121">
        <v>13.58</v>
      </c>
      <c r="C121">
        <v>2.58</v>
      </c>
      <c r="D121">
        <v>2.69</v>
      </c>
      <c r="E121">
        <v>24.5</v>
      </c>
      <c r="F121">
        <v>105</v>
      </c>
      <c r="G121">
        <v>1.55</v>
      </c>
      <c r="H121">
        <v>0.84</v>
      </c>
      <c r="I121">
        <v>0.39</v>
      </c>
      <c r="J121">
        <v>1.54</v>
      </c>
      <c r="K121">
        <v>8.66</v>
      </c>
      <c r="L121">
        <v>0.74</v>
      </c>
      <c r="M121">
        <v>1.8</v>
      </c>
      <c r="N121">
        <v>750</v>
      </c>
      <c r="O121">
        <f t="shared" si="9"/>
        <v>2</v>
      </c>
      <c r="P121" cm="1">
        <f t="array" ref="P121">MMULT(B121:N121,$W$10:$W$22)+$W$9</f>
        <v>0.71626975387478109</v>
      </c>
      <c r="Q121" t="str">
        <f t="shared" si="6"/>
        <v>V3</v>
      </c>
      <c r="R121">
        <f t="shared" si="7"/>
        <v>0</v>
      </c>
      <c r="S121" s="9">
        <f t="shared" si="8"/>
        <v>3.5360897397776836E-3</v>
      </c>
    </row>
    <row r="122" spans="1:19">
      <c r="A122" t="s">
        <v>16</v>
      </c>
      <c r="B122">
        <v>13.4</v>
      </c>
      <c r="C122">
        <v>4.5999999999999996</v>
      </c>
      <c r="D122">
        <v>2.86</v>
      </c>
      <c r="E122">
        <v>25</v>
      </c>
      <c r="F122">
        <v>112</v>
      </c>
      <c r="G122">
        <v>1.98</v>
      </c>
      <c r="H122">
        <v>0.96</v>
      </c>
      <c r="I122">
        <v>0.27</v>
      </c>
      <c r="J122">
        <v>1.1100000000000001</v>
      </c>
      <c r="K122">
        <v>8.5</v>
      </c>
      <c r="L122">
        <v>0.67</v>
      </c>
      <c r="M122">
        <v>1.92</v>
      </c>
      <c r="N122">
        <v>630</v>
      </c>
      <c r="O122">
        <f t="shared" si="9"/>
        <v>2</v>
      </c>
      <c r="P122" cm="1">
        <f t="array" ref="P122">MMULT(B122:N122,$W$10:$W$22)+$W$9</f>
        <v>0.81567923476644144</v>
      </c>
      <c r="Q122" t="str">
        <f t="shared" si="6"/>
        <v>V3</v>
      </c>
      <c r="R122">
        <f t="shared" si="7"/>
        <v>0</v>
      </c>
      <c r="S122" s="9">
        <f t="shared" si="8"/>
        <v>1.5955591927207296E-3</v>
      </c>
    </row>
    <row r="123" spans="1:19">
      <c r="A123" t="s">
        <v>16</v>
      </c>
      <c r="B123">
        <v>12.77</v>
      </c>
      <c r="C123">
        <v>2.39</v>
      </c>
      <c r="D123">
        <v>2.2799999999999998</v>
      </c>
      <c r="E123">
        <v>19.5</v>
      </c>
      <c r="F123">
        <v>86</v>
      </c>
      <c r="G123">
        <v>1.39</v>
      </c>
      <c r="H123">
        <v>0.51</v>
      </c>
      <c r="I123">
        <v>0.48</v>
      </c>
      <c r="J123">
        <v>0.64</v>
      </c>
      <c r="K123">
        <v>9.8999989999999993</v>
      </c>
      <c r="L123">
        <v>0.56999999999999995</v>
      </c>
      <c r="M123">
        <v>1.63</v>
      </c>
      <c r="N123">
        <v>470</v>
      </c>
      <c r="O123">
        <f t="shared" si="9"/>
        <v>2</v>
      </c>
      <c r="P123" cm="1">
        <f t="array" ref="P123">MMULT(B123:N123,$W$10:$W$22)+$W$9</f>
        <v>1.0444869914197306</v>
      </c>
      <c r="Q123" t="str">
        <f t="shared" si="6"/>
        <v>V3</v>
      </c>
      <c r="R123">
        <f t="shared" si="7"/>
        <v>0</v>
      </c>
      <c r="S123" s="9">
        <f t="shared" si="8"/>
        <v>7.222774930037397E-2</v>
      </c>
    </row>
    <row r="124" spans="1:19">
      <c r="A124" t="s">
        <v>16</v>
      </c>
      <c r="B124">
        <v>14.16</v>
      </c>
      <c r="C124">
        <v>2.5099999999999998</v>
      </c>
      <c r="D124">
        <v>2.48</v>
      </c>
      <c r="E124">
        <v>20</v>
      </c>
      <c r="F124">
        <v>91</v>
      </c>
      <c r="G124">
        <v>1.68</v>
      </c>
      <c r="H124">
        <v>0.7</v>
      </c>
      <c r="I124">
        <v>0.44</v>
      </c>
      <c r="J124">
        <v>1.24</v>
      </c>
      <c r="K124">
        <v>9.6999999999999993</v>
      </c>
      <c r="L124">
        <v>0.62</v>
      </c>
      <c r="M124">
        <v>1.71</v>
      </c>
      <c r="N124">
        <v>660</v>
      </c>
      <c r="O124">
        <f t="shared" si="9"/>
        <v>2</v>
      </c>
      <c r="P124" cm="1">
        <f t="array" ref="P124">MMULT(B124:N124,$W$10:$W$22)+$W$9</f>
        <v>0.83976366625797572</v>
      </c>
      <c r="Q124" t="str">
        <f t="shared" si="6"/>
        <v>V3</v>
      </c>
      <c r="R124">
        <f t="shared" si="7"/>
        <v>0</v>
      </c>
      <c r="S124" s="9">
        <f t="shared" si="8"/>
        <v>4.0996978364413158E-3</v>
      </c>
    </row>
    <row r="125" spans="1:19">
      <c r="A125" t="s">
        <v>16</v>
      </c>
      <c r="B125">
        <v>13.4</v>
      </c>
      <c r="C125">
        <v>3.91</v>
      </c>
      <c r="D125">
        <v>2.48</v>
      </c>
      <c r="E125">
        <v>23</v>
      </c>
      <c r="F125">
        <v>102</v>
      </c>
      <c r="G125">
        <v>1.8</v>
      </c>
      <c r="H125">
        <v>0.75</v>
      </c>
      <c r="I125">
        <v>0.43</v>
      </c>
      <c r="J125">
        <v>1.41</v>
      </c>
      <c r="K125">
        <v>7.3</v>
      </c>
      <c r="L125">
        <v>0.7</v>
      </c>
      <c r="M125">
        <v>1.56</v>
      </c>
      <c r="N125">
        <v>750</v>
      </c>
      <c r="O125">
        <f t="shared" si="9"/>
        <v>2</v>
      </c>
      <c r="P125" cm="1">
        <f t="array" ref="P125">MMULT(B125:N125,$W$10:$W$22)+$W$9</f>
        <v>0.82753996808719221</v>
      </c>
      <c r="Q125" t="str">
        <f t="shared" si="6"/>
        <v>V3</v>
      </c>
      <c r="R125">
        <f t="shared" si="7"/>
        <v>0</v>
      </c>
      <c r="S125" s="9">
        <f t="shared" si="8"/>
        <v>2.683777157562127E-3</v>
      </c>
    </row>
    <row r="126" spans="1:19">
      <c r="A126" t="s">
        <v>16</v>
      </c>
      <c r="B126">
        <v>13.27</v>
      </c>
      <c r="C126">
        <v>4.28</v>
      </c>
      <c r="D126">
        <v>2.2599999999999998</v>
      </c>
      <c r="E126">
        <v>20</v>
      </c>
      <c r="F126">
        <v>120</v>
      </c>
      <c r="G126">
        <v>1.59</v>
      </c>
      <c r="H126">
        <v>0.69</v>
      </c>
      <c r="I126">
        <v>0.43</v>
      </c>
      <c r="J126">
        <v>1.35</v>
      </c>
      <c r="K126">
        <v>10.199999999999999</v>
      </c>
      <c r="L126">
        <v>0.59</v>
      </c>
      <c r="M126">
        <v>1.56</v>
      </c>
      <c r="N126">
        <v>835</v>
      </c>
      <c r="O126">
        <f t="shared" si="9"/>
        <v>2</v>
      </c>
      <c r="P126" cm="1">
        <f t="array" ref="P126">MMULT(B126:N126,$W$10:$W$22)+$W$9</f>
        <v>0.90988674618812726</v>
      </c>
      <c r="Q126" t="str">
        <f t="shared" si="6"/>
        <v>V3</v>
      </c>
      <c r="R126">
        <f t="shared" si="7"/>
        <v>0</v>
      </c>
      <c r="S126" s="9">
        <f t="shared" si="8"/>
        <v>1.7996749112366404E-2</v>
      </c>
    </row>
    <row r="127" spans="1:19">
      <c r="A127" t="s">
        <v>16</v>
      </c>
      <c r="B127">
        <v>13.17</v>
      </c>
      <c r="C127">
        <v>2.59</v>
      </c>
      <c r="D127">
        <v>2.37</v>
      </c>
      <c r="E127">
        <v>20</v>
      </c>
      <c r="F127">
        <v>120</v>
      </c>
      <c r="G127">
        <v>1.65</v>
      </c>
      <c r="H127">
        <v>0.68</v>
      </c>
      <c r="I127">
        <v>0.53</v>
      </c>
      <c r="J127">
        <v>1.46</v>
      </c>
      <c r="K127">
        <v>9.3000000000000007</v>
      </c>
      <c r="L127">
        <v>0.6</v>
      </c>
      <c r="M127">
        <v>1.62</v>
      </c>
      <c r="N127">
        <v>840</v>
      </c>
      <c r="O127">
        <f t="shared" si="9"/>
        <v>2</v>
      </c>
      <c r="P127" cm="1">
        <f t="array" ref="P127">MMULT(B127:N127,$W$10:$W$22)+$W$9</f>
        <v>0.80562049096208166</v>
      </c>
      <c r="Q127" t="str">
        <f t="shared" si="6"/>
        <v>V3</v>
      </c>
      <c r="R127">
        <f t="shared" si="7"/>
        <v>0</v>
      </c>
      <c r="S127" s="9">
        <f t="shared" si="8"/>
        <v>8.9315551480639052E-4</v>
      </c>
    </row>
    <row r="128" spans="1:19">
      <c r="S128" s="2"/>
    </row>
    <row r="129" spans="19:19">
      <c r="S129" s="2"/>
    </row>
    <row r="130" spans="19:19">
      <c r="S130" s="2"/>
    </row>
    <row r="131" spans="19:19">
      <c r="S131" s="2"/>
    </row>
    <row r="132" spans="19:19">
      <c r="S132" s="2"/>
    </row>
    <row r="133" spans="19:19">
      <c r="S133" s="2"/>
    </row>
    <row r="134" spans="19:19">
      <c r="S134" s="2"/>
    </row>
    <row r="135" spans="19:19">
      <c r="S135" s="2"/>
    </row>
    <row r="136" spans="19:19">
      <c r="S136" s="2"/>
    </row>
    <row r="137" spans="19:19">
      <c r="S137" s="2"/>
    </row>
    <row r="138" spans="19:19">
      <c r="S138" s="2"/>
    </row>
    <row r="139" spans="19:19">
      <c r="S139" s="2"/>
    </row>
    <row r="140" spans="19:19">
      <c r="S140" s="2"/>
    </row>
    <row r="141" spans="19:19">
      <c r="S141" s="2"/>
    </row>
    <row r="142" spans="19:19">
      <c r="S142" s="2"/>
    </row>
    <row r="143" spans="19:19">
      <c r="S143" s="2"/>
    </row>
    <row r="144" spans="19:19">
      <c r="S144" s="2"/>
    </row>
    <row r="145" spans="19:19">
      <c r="S145" s="2"/>
    </row>
    <row r="146" spans="19:19">
      <c r="S146" s="2"/>
    </row>
    <row r="147" spans="19:19">
      <c r="S147" s="2"/>
    </row>
    <row r="148" spans="19:19">
      <c r="S148" s="2"/>
    </row>
    <row r="149" spans="19:19">
      <c r="S149" s="2"/>
    </row>
    <row r="150" spans="19:19">
      <c r="S150" s="2"/>
    </row>
    <row r="151" spans="19:19">
      <c r="S151" s="2"/>
    </row>
    <row r="152" spans="19:19">
      <c r="S152" s="2"/>
    </row>
    <row r="153" spans="19:19">
      <c r="S153" s="2"/>
    </row>
    <row r="154" spans="19:19">
      <c r="S154" s="2"/>
    </row>
    <row r="155" spans="19:19">
      <c r="S155" s="2"/>
    </row>
    <row r="156" spans="19:19">
      <c r="S156" s="2"/>
    </row>
    <row r="157" spans="19:19">
      <c r="S157" s="2"/>
    </row>
    <row r="158" spans="19:19">
      <c r="S158" s="2"/>
    </row>
    <row r="159" spans="19:19">
      <c r="S159" s="2"/>
    </row>
    <row r="160" spans="19:19">
      <c r="S160" s="2"/>
    </row>
    <row r="161" spans="19:19">
      <c r="S161" s="2"/>
    </row>
    <row r="162" spans="19:19">
      <c r="S162" s="2"/>
    </row>
    <row r="163" spans="19:19">
      <c r="S163" s="2"/>
    </row>
    <row r="164" spans="19:19">
      <c r="S164" s="2"/>
    </row>
    <row r="165" spans="19:19">
      <c r="S165" s="2"/>
    </row>
    <row r="166" spans="19:19">
      <c r="S166" s="2"/>
    </row>
    <row r="167" spans="19:19">
      <c r="S167" s="2"/>
    </row>
    <row r="168" spans="19:19">
      <c r="S168" s="2"/>
    </row>
    <row r="169" spans="19:19">
      <c r="S169" s="2"/>
    </row>
    <row r="170" spans="19:19">
      <c r="S170" s="2"/>
    </row>
    <row r="171" spans="19:19">
      <c r="S171" s="2"/>
    </row>
    <row r="172" spans="19:19">
      <c r="S172" s="2"/>
    </row>
    <row r="173" spans="19:19">
      <c r="S173" s="2"/>
    </row>
    <row r="174" spans="19:19">
      <c r="S174" s="2"/>
    </row>
    <row r="175" spans="19:19">
      <c r="S175" s="2"/>
    </row>
    <row r="176" spans="19:19">
      <c r="S176" s="2"/>
    </row>
    <row r="177" spans="19:19">
      <c r="S177" s="2"/>
    </row>
    <row r="178" spans="19:19">
      <c r="S178" s="2"/>
    </row>
    <row r="179" spans="19:19">
      <c r="S179" s="2"/>
    </row>
  </sheetData>
  <mergeCells count="1">
    <mergeCell ref="U34:V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3"/>
  <sheetViews>
    <sheetView tabSelected="1" topLeftCell="C1" workbookViewId="0">
      <selection activeCell="W35" sqref="W35"/>
    </sheetView>
  </sheetViews>
  <sheetFormatPr defaultRowHeight="15"/>
  <cols>
    <col min="16" max="16" width="24.140625" customWidth="1"/>
    <col min="17" max="17" width="25.42578125" customWidth="1"/>
    <col min="20" max="20" width="7.42578125" customWidth="1"/>
    <col min="21" max="21" width="10.7109375" customWidth="1"/>
    <col min="22" max="22" width="15.5703125" customWidth="1"/>
    <col min="23" max="23" width="15.140625" customWidth="1"/>
    <col min="24" max="24" width="19.140625" customWidth="1"/>
  </cols>
  <sheetData>
    <row r="1" spans="1:24">
      <c r="A1" t="s">
        <v>0</v>
      </c>
      <c r="B1" t="s">
        <v>1</v>
      </c>
      <c r="C1" t="s">
        <v>2</v>
      </c>
      <c r="D1" t="s">
        <v>3</v>
      </c>
      <c r="E1" t="s">
        <v>4</v>
      </c>
      <c r="F1" t="s">
        <v>5</v>
      </c>
      <c r="G1" t="s">
        <v>6</v>
      </c>
      <c r="H1" t="s">
        <v>7</v>
      </c>
      <c r="I1" t="s">
        <v>8</v>
      </c>
      <c r="J1" t="s">
        <v>9</v>
      </c>
      <c r="K1" t="s">
        <v>10</v>
      </c>
      <c r="L1" t="s">
        <v>11</v>
      </c>
      <c r="M1" t="s">
        <v>12</v>
      </c>
      <c r="N1" t="s">
        <v>13</v>
      </c>
      <c r="O1" t="s">
        <v>17</v>
      </c>
      <c r="P1" t="s">
        <v>35</v>
      </c>
      <c r="Q1" t="s">
        <v>36</v>
      </c>
      <c r="R1" t="s">
        <v>37</v>
      </c>
    </row>
    <row r="2" spans="1:24">
      <c r="A2" t="s">
        <v>14</v>
      </c>
      <c r="B2">
        <v>14.23</v>
      </c>
      <c r="C2">
        <v>1.71</v>
      </c>
      <c r="D2">
        <v>2.4300000000000002</v>
      </c>
      <c r="E2">
        <v>15.6</v>
      </c>
      <c r="F2">
        <v>127</v>
      </c>
      <c r="G2">
        <v>2.8</v>
      </c>
      <c r="H2">
        <v>3.06</v>
      </c>
      <c r="I2">
        <v>0.28000000000000003</v>
      </c>
      <c r="J2">
        <v>2.29</v>
      </c>
      <c r="K2">
        <v>5.64</v>
      </c>
      <c r="L2">
        <v>1.04</v>
      </c>
      <c r="M2">
        <v>3.92</v>
      </c>
      <c r="N2">
        <v>1065</v>
      </c>
      <c r="O2">
        <f>IF(A2=V$2,U$2,IF(A2=V$3,U$3,U$4))</f>
        <v>0</v>
      </c>
      <c r="P2" cm="1">
        <f t="array" ref="P2">MMULT(B2:N2,$W$10:$W$22)+$W$9</f>
        <v>-1.2733523563793794</v>
      </c>
      <c r="Q2" t="str">
        <f>IF(P2&lt;$W$28,$V$2,IF(P2&lt;$W$29,$V$3,$V$4))</f>
        <v>V1</v>
      </c>
      <c r="R2">
        <f>IF(A2=Q2,0,1)</f>
        <v>0</v>
      </c>
      <c r="U2">
        <v>0</v>
      </c>
      <c r="V2" t="s">
        <v>14</v>
      </c>
    </row>
    <row r="3" spans="1:24">
      <c r="A3" t="s">
        <v>14</v>
      </c>
      <c r="B3">
        <v>13.2</v>
      </c>
      <c r="C3">
        <v>1.78</v>
      </c>
      <c r="D3">
        <v>2.14</v>
      </c>
      <c r="E3">
        <v>11.2</v>
      </c>
      <c r="F3">
        <v>100</v>
      </c>
      <c r="G3">
        <v>2.65</v>
      </c>
      <c r="H3">
        <v>2.76</v>
      </c>
      <c r="I3">
        <v>0.26</v>
      </c>
      <c r="J3">
        <v>1.28</v>
      </c>
      <c r="K3">
        <v>4.38</v>
      </c>
      <c r="L3">
        <v>1.05</v>
      </c>
      <c r="M3">
        <v>3.4</v>
      </c>
      <c r="N3">
        <v>1050</v>
      </c>
      <c r="O3">
        <f t="shared" ref="O3:O53" si="0">IF(A3=V$2,U$2,IF(A3=V$3,U$3,U$4))</f>
        <v>0</v>
      </c>
      <c r="P3" cm="1">
        <f t="array" ref="P3">MMULT(B3:N3,$W$10:$W$22)+$W$9</f>
        <v>-0.91471607568087077</v>
      </c>
      <c r="Q3" t="str">
        <f t="shared" ref="Q3:Q53" si="1">IF(P3&lt;$W$28,$V$2,IF(P3&lt;$W$29,$V$3,$V$4))</f>
        <v>V1</v>
      </c>
      <c r="R3">
        <f t="shared" ref="R3:R53" si="2">IF(A3=Q3,0,1)</f>
        <v>0</v>
      </c>
      <c r="U3">
        <v>1</v>
      </c>
      <c r="V3" t="s">
        <v>15</v>
      </c>
    </row>
    <row r="4" spans="1:24">
      <c r="A4" t="s">
        <v>14</v>
      </c>
      <c r="B4">
        <v>13.16</v>
      </c>
      <c r="C4">
        <v>2.36</v>
      </c>
      <c r="D4">
        <v>2.67</v>
      </c>
      <c r="E4">
        <v>18.600000000000001</v>
      </c>
      <c r="F4">
        <v>101</v>
      </c>
      <c r="G4">
        <v>2.8</v>
      </c>
      <c r="H4">
        <v>3.24</v>
      </c>
      <c r="I4">
        <v>0.3</v>
      </c>
      <c r="J4">
        <v>2.81</v>
      </c>
      <c r="K4">
        <v>5.68</v>
      </c>
      <c r="L4">
        <v>1.03</v>
      </c>
      <c r="M4">
        <v>3.17</v>
      </c>
      <c r="N4">
        <v>1185</v>
      </c>
      <c r="O4">
        <f t="shared" si="0"/>
        <v>0</v>
      </c>
      <c r="P4" cm="1">
        <f t="array" ref="P4">MMULT(B4:N4,$W$10:$W$22)+$W$9</f>
        <v>-1.0506723692769815</v>
      </c>
      <c r="Q4" t="str">
        <f t="shared" si="1"/>
        <v>V1</v>
      </c>
      <c r="R4">
        <f t="shared" si="2"/>
        <v>0</v>
      </c>
      <c r="U4">
        <v>2</v>
      </c>
      <c r="V4" t="s">
        <v>16</v>
      </c>
    </row>
    <row r="5" spans="1:24">
      <c r="A5" t="s">
        <v>14</v>
      </c>
      <c r="B5">
        <v>14.37</v>
      </c>
      <c r="C5">
        <v>1.95</v>
      </c>
      <c r="D5">
        <v>2.5</v>
      </c>
      <c r="E5">
        <v>16.8</v>
      </c>
      <c r="F5">
        <v>113</v>
      </c>
      <c r="G5">
        <v>3.85</v>
      </c>
      <c r="H5">
        <v>3.49</v>
      </c>
      <c r="I5">
        <v>0.24</v>
      </c>
      <c r="J5">
        <v>2.1800000000000002</v>
      </c>
      <c r="K5">
        <v>7.8</v>
      </c>
      <c r="L5">
        <v>0.86</v>
      </c>
      <c r="M5">
        <v>3.45</v>
      </c>
      <c r="N5">
        <v>1480</v>
      </c>
      <c r="O5">
        <f t="shared" si="0"/>
        <v>0</v>
      </c>
      <c r="P5" cm="1">
        <f t="array" ref="P5">MMULT(B5:N5,$W$10:$W$22)+$W$9</f>
        <v>-1.134765552591559</v>
      </c>
      <c r="Q5" t="str">
        <f t="shared" si="1"/>
        <v>V1</v>
      </c>
      <c r="R5">
        <f t="shared" si="2"/>
        <v>0</v>
      </c>
    </row>
    <row r="6" spans="1:24">
      <c r="A6" t="s">
        <v>14</v>
      </c>
      <c r="B6">
        <v>13.75</v>
      </c>
      <c r="C6">
        <v>1.73</v>
      </c>
      <c r="D6">
        <v>2.41</v>
      </c>
      <c r="E6">
        <v>16</v>
      </c>
      <c r="F6">
        <v>89</v>
      </c>
      <c r="G6">
        <v>2.6</v>
      </c>
      <c r="H6">
        <v>2.76</v>
      </c>
      <c r="I6">
        <v>0.28999999999999998</v>
      </c>
      <c r="J6">
        <v>1.81</v>
      </c>
      <c r="K6">
        <v>5.6</v>
      </c>
      <c r="L6">
        <v>1.1499999999999999</v>
      </c>
      <c r="M6">
        <v>2.9</v>
      </c>
      <c r="N6">
        <v>1320</v>
      </c>
      <c r="O6">
        <f t="shared" si="0"/>
        <v>0</v>
      </c>
      <c r="P6" cm="1">
        <f t="array" ref="P6">MMULT(B6:N6,$W$10:$W$22)+$W$9</f>
        <v>-0.82129166645509777</v>
      </c>
      <c r="Q6" t="str">
        <f t="shared" si="1"/>
        <v>V1</v>
      </c>
      <c r="R6">
        <f t="shared" si="2"/>
        <v>0</v>
      </c>
    </row>
    <row r="7" spans="1:24">
      <c r="A7" t="s">
        <v>14</v>
      </c>
      <c r="B7">
        <v>14.75</v>
      </c>
      <c r="C7">
        <v>1.73</v>
      </c>
      <c r="D7">
        <v>2.39</v>
      </c>
      <c r="E7">
        <v>11.4</v>
      </c>
      <c r="F7">
        <v>91</v>
      </c>
      <c r="G7">
        <v>3.1</v>
      </c>
      <c r="H7">
        <v>3.69</v>
      </c>
      <c r="I7">
        <v>0.43</v>
      </c>
      <c r="J7">
        <v>2.81</v>
      </c>
      <c r="K7">
        <v>5.4</v>
      </c>
      <c r="L7">
        <v>1.25</v>
      </c>
      <c r="M7">
        <v>2.73</v>
      </c>
      <c r="N7">
        <v>1150</v>
      </c>
      <c r="O7">
        <f t="shared" si="0"/>
        <v>0</v>
      </c>
      <c r="P7" cm="1">
        <f t="array" ref="P7">MMULT(B7:N7,$W$10:$W$22)+$W$9</f>
        <v>-1.3856423263271878</v>
      </c>
      <c r="Q7" t="str">
        <f t="shared" si="1"/>
        <v>V1</v>
      </c>
      <c r="R7">
        <f t="shared" si="2"/>
        <v>0</v>
      </c>
    </row>
    <row r="8" spans="1:24">
      <c r="A8" t="s">
        <v>14</v>
      </c>
      <c r="B8">
        <v>14.19</v>
      </c>
      <c r="C8">
        <v>1.59</v>
      </c>
      <c r="D8">
        <v>2.48</v>
      </c>
      <c r="E8">
        <v>16.5</v>
      </c>
      <c r="F8">
        <v>108</v>
      </c>
      <c r="G8">
        <v>3.3</v>
      </c>
      <c r="H8">
        <v>3.93</v>
      </c>
      <c r="I8">
        <v>0.32</v>
      </c>
      <c r="J8">
        <v>1.86</v>
      </c>
      <c r="K8">
        <v>8.6999999999999993</v>
      </c>
      <c r="L8">
        <v>1.23</v>
      </c>
      <c r="M8">
        <v>2.82</v>
      </c>
      <c r="N8">
        <v>1680</v>
      </c>
      <c r="O8">
        <f t="shared" si="0"/>
        <v>0</v>
      </c>
      <c r="P8" cm="1">
        <f t="array" ref="P8">MMULT(B8:N8,$W$10:$W$22)+$W$9</f>
        <v>-1.4009998617288288</v>
      </c>
      <c r="Q8" t="str">
        <f t="shared" si="1"/>
        <v>V1</v>
      </c>
      <c r="R8">
        <f t="shared" si="2"/>
        <v>0</v>
      </c>
      <c r="W8" t="s">
        <v>43</v>
      </c>
      <c r="X8" t="s">
        <v>42</v>
      </c>
    </row>
    <row r="9" spans="1:24">
      <c r="A9" t="s">
        <v>14</v>
      </c>
      <c r="B9">
        <v>14.06</v>
      </c>
      <c r="C9">
        <v>1.63</v>
      </c>
      <c r="D9">
        <v>2.2799999999999998</v>
      </c>
      <c r="E9">
        <v>16</v>
      </c>
      <c r="F9">
        <v>126</v>
      </c>
      <c r="G9">
        <v>3</v>
      </c>
      <c r="H9">
        <v>3.17</v>
      </c>
      <c r="I9">
        <v>0.24</v>
      </c>
      <c r="J9">
        <v>2.1</v>
      </c>
      <c r="K9">
        <v>5.65</v>
      </c>
      <c r="L9">
        <v>1.0900000000000001</v>
      </c>
      <c r="M9">
        <v>3.71</v>
      </c>
      <c r="N9">
        <v>780</v>
      </c>
      <c r="O9">
        <f t="shared" si="0"/>
        <v>0</v>
      </c>
      <c r="P9" cm="1">
        <f t="array" ref="P9">MMULT(B9:N9,$W$10:$W$22)+$W$9</f>
        <v>-1.1465625003476005</v>
      </c>
      <c r="Q9" t="str">
        <f t="shared" si="1"/>
        <v>V1</v>
      </c>
      <c r="R9">
        <f t="shared" si="2"/>
        <v>0</v>
      </c>
      <c r="U9">
        <v>14</v>
      </c>
      <c r="V9" t="s">
        <v>18</v>
      </c>
      <c r="W9">
        <v>2.7050759617210631</v>
      </c>
      <c r="X9">
        <v>2.7050755646868714</v>
      </c>
    </row>
    <row r="10" spans="1:24">
      <c r="A10" t="s">
        <v>14</v>
      </c>
      <c r="B10">
        <v>13.05</v>
      </c>
      <c r="C10">
        <v>2.0499999999999998</v>
      </c>
      <c r="D10">
        <v>3.22</v>
      </c>
      <c r="E10">
        <v>25</v>
      </c>
      <c r="F10">
        <v>124</v>
      </c>
      <c r="G10">
        <v>2.63</v>
      </c>
      <c r="H10">
        <v>2.68</v>
      </c>
      <c r="I10">
        <v>0.47</v>
      </c>
      <c r="J10">
        <v>1.92</v>
      </c>
      <c r="K10">
        <v>3.58</v>
      </c>
      <c r="L10">
        <v>1.1299999999999999</v>
      </c>
      <c r="M10">
        <v>3.2</v>
      </c>
      <c r="N10">
        <v>830</v>
      </c>
      <c r="O10">
        <f t="shared" si="0"/>
        <v>0</v>
      </c>
      <c r="P10" cm="1">
        <f t="array" ref="P10">MMULT(B10:N10,$W$10:$W$22)+$W$9</f>
        <v>-0.89742018034145588</v>
      </c>
      <c r="Q10" t="str">
        <f t="shared" si="1"/>
        <v>V1</v>
      </c>
      <c r="R10">
        <f t="shared" si="2"/>
        <v>0</v>
      </c>
      <c r="U10">
        <v>13</v>
      </c>
      <c r="V10" t="s">
        <v>19</v>
      </c>
      <c r="W10">
        <v>-7.2177010767977334E-2</v>
      </c>
      <c r="X10">
        <v>-5.7665385417429153E-2</v>
      </c>
    </row>
    <row r="11" spans="1:24">
      <c r="A11" t="s">
        <v>14</v>
      </c>
      <c r="B11">
        <v>13.39</v>
      </c>
      <c r="C11">
        <v>1.77</v>
      </c>
      <c r="D11">
        <v>2.62</v>
      </c>
      <c r="E11">
        <v>16.100000000000001</v>
      </c>
      <c r="F11">
        <v>93</v>
      </c>
      <c r="G11">
        <v>2.85</v>
      </c>
      <c r="H11">
        <v>2.94</v>
      </c>
      <c r="I11">
        <v>0.34</v>
      </c>
      <c r="J11">
        <v>1.45</v>
      </c>
      <c r="K11">
        <v>4.8</v>
      </c>
      <c r="L11">
        <v>0.92</v>
      </c>
      <c r="M11">
        <v>3.22</v>
      </c>
      <c r="N11">
        <v>1195</v>
      </c>
      <c r="O11">
        <f t="shared" si="0"/>
        <v>0</v>
      </c>
      <c r="P11" cm="1">
        <f t="array" ref="P11">MMULT(B11:N11,$W$10:$W$22)+$W$9</f>
        <v>-0.95860465451632049</v>
      </c>
      <c r="Q11" t="str">
        <f t="shared" si="1"/>
        <v>V1</v>
      </c>
      <c r="R11">
        <f t="shared" si="2"/>
        <v>0</v>
      </c>
      <c r="U11">
        <v>12</v>
      </c>
      <c r="V11" t="s">
        <v>20</v>
      </c>
      <c r="W11">
        <v>2.9766810211033471E-3</v>
      </c>
      <c r="X11">
        <v>3.5312787079097199E-2</v>
      </c>
    </row>
    <row r="12" spans="1:24">
      <c r="A12" t="s">
        <v>14</v>
      </c>
      <c r="B12">
        <v>13.3</v>
      </c>
      <c r="C12">
        <v>1.72</v>
      </c>
      <c r="D12">
        <v>2.14</v>
      </c>
      <c r="E12">
        <v>17</v>
      </c>
      <c r="F12">
        <v>94</v>
      </c>
      <c r="G12">
        <v>2.4</v>
      </c>
      <c r="H12">
        <v>2.19</v>
      </c>
      <c r="I12">
        <v>0.27</v>
      </c>
      <c r="J12">
        <v>1.35</v>
      </c>
      <c r="K12">
        <v>3.95</v>
      </c>
      <c r="L12">
        <v>1.02</v>
      </c>
      <c r="M12">
        <v>2.77</v>
      </c>
      <c r="N12">
        <v>1285</v>
      </c>
      <c r="O12">
        <f t="shared" si="0"/>
        <v>0</v>
      </c>
      <c r="P12" cm="1">
        <f t="array" ref="P12">MMULT(B12:N12,$W$10:$W$22)+$W$9</f>
        <v>-0.47886319626524498</v>
      </c>
      <c r="Q12" t="str">
        <f t="shared" si="1"/>
        <v>V2</v>
      </c>
      <c r="R12">
        <f t="shared" si="2"/>
        <v>1</v>
      </c>
      <c r="U12">
        <v>11</v>
      </c>
      <c r="V12" t="s">
        <v>21</v>
      </c>
      <c r="W12">
        <v>2.8836583991108503E-2</v>
      </c>
      <c r="X12">
        <v>-0.18079125921983041</v>
      </c>
    </row>
    <row r="13" spans="1:24">
      <c r="A13" t="s">
        <v>14</v>
      </c>
      <c r="B13">
        <v>14.02</v>
      </c>
      <c r="C13">
        <v>1.68</v>
      </c>
      <c r="D13">
        <v>2.21</v>
      </c>
      <c r="E13">
        <v>16</v>
      </c>
      <c r="F13">
        <v>96</v>
      </c>
      <c r="G13">
        <v>2.65</v>
      </c>
      <c r="H13">
        <v>2.33</v>
      </c>
      <c r="I13">
        <v>0.26</v>
      </c>
      <c r="J13">
        <v>1.98</v>
      </c>
      <c r="K13">
        <v>4.7</v>
      </c>
      <c r="L13">
        <v>1.04</v>
      </c>
      <c r="M13">
        <v>3.59</v>
      </c>
      <c r="N13">
        <v>1035</v>
      </c>
      <c r="O13">
        <f t="shared" si="0"/>
        <v>0</v>
      </c>
      <c r="P13" cm="1">
        <f t="array" ref="P13">MMULT(B13:N13,$W$10:$W$22)+$W$9</f>
        <v>-0.74758081999926507</v>
      </c>
      <c r="Q13" t="str">
        <f t="shared" si="1"/>
        <v>V2</v>
      </c>
      <c r="R13">
        <f t="shared" si="2"/>
        <v>1</v>
      </c>
      <c r="U13">
        <v>10</v>
      </c>
      <c r="V13" t="s">
        <v>22</v>
      </c>
      <c r="W13">
        <v>2.3070128464896056E-3</v>
      </c>
      <c r="X13">
        <v>4.5540365187840728E-2</v>
      </c>
    </row>
    <row r="14" spans="1:24">
      <c r="A14" t="s">
        <v>14</v>
      </c>
      <c r="B14">
        <v>13.73</v>
      </c>
      <c r="C14">
        <v>1.5</v>
      </c>
      <c r="D14">
        <v>2.7</v>
      </c>
      <c r="E14">
        <v>22.5</v>
      </c>
      <c r="F14">
        <v>101</v>
      </c>
      <c r="G14">
        <v>3</v>
      </c>
      <c r="H14">
        <v>3.25</v>
      </c>
      <c r="I14">
        <v>0.28999999999999998</v>
      </c>
      <c r="J14">
        <v>2.38</v>
      </c>
      <c r="K14">
        <v>5.7</v>
      </c>
      <c r="L14">
        <v>1.19</v>
      </c>
      <c r="M14">
        <v>2.71</v>
      </c>
      <c r="N14">
        <v>1285</v>
      </c>
      <c r="O14">
        <f t="shared" si="0"/>
        <v>0</v>
      </c>
      <c r="P14" cm="1">
        <f t="array" ref="P14">MMULT(B14:N14,$W$10:$W$22)+$W$9</f>
        <v>-0.95259801985333104</v>
      </c>
      <c r="Q14" t="str">
        <f t="shared" si="1"/>
        <v>V1</v>
      </c>
      <c r="R14">
        <f t="shared" si="2"/>
        <v>0</v>
      </c>
      <c r="U14">
        <v>9</v>
      </c>
      <c r="V14" t="s">
        <v>23</v>
      </c>
      <c r="W14">
        <v>-9.0331184770945034E-4</v>
      </c>
      <c r="X14">
        <v>-9.1706865569951568E-4</v>
      </c>
    </row>
    <row r="15" spans="1:24">
      <c r="A15" t="s">
        <v>14</v>
      </c>
      <c r="B15">
        <v>13.58</v>
      </c>
      <c r="C15">
        <v>1.66</v>
      </c>
      <c r="D15">
        <v>2.36</v>
      </c>
      <c r="E15">
        <v>19.100000000000001</v>
      </c>
      <c r="F15">
        <v>106</v>
      </c>
      <c r="G15">
        <v>2.86</v>
      </c>
      <c r="H15">
        <v>3.19</v>
      </c>
      <c r="I15">
        <v>0.22</v>
      </c>
      <c r="J15">
        <v>1.95</v>
      </c>
      <c r="K15">
        <v>6.9</v>
      </c>
      <c r="L15">
        <v>1.0900000000000001</v>
      </c>
      <c r="M15">
        <v>2.88</v>
      </c>
      <c r="N15">
        <v>1515</v>
      </c>
      <c r="O15">
        <f t="shared" si="0"/>
        <v>0</v>
      </c>
      <c r="P15" cm="1">
        <f t="array" ref="P15">MMULT(B15:N15,$W$10:$W$22)+$W$9</f>
        <v>-0.94923091695784567</v>
      </c>
      <c r="Q15" t="str">
        <f t="shared" si="1"/>
        <v>V1</v>
      </c>
      <c r="R15">
        <f t="shared" si="2"/>
        <v>0</v>
      </c>
      <c r="U15">
        <v>8</v>
      </c>
      <c r="V15" t="s">
        <v>24</v>
      </c>
      <c r="W15">
        <v>0.17075234372832165</v>
      </c>
      <c r="X15">
        <v>0.22521868180106347</v>
      </c>
    </row>
    <row r="16" spans="1:24">
      <c r="A16" t="s">
        <v>14</v>
      </c>
      <c r="B16">
        <v>13.07</v>
      </c>
      <c r="C16">
        <v>1.5</v>
      </c>
      <c r="D16">
        <v>2.1</v>
      </c>
      <c r="E16">
        <v>15.5</v>
      </c>
      <c r="F16">
        <v>98</v>
      </c>
      <c r="G16">
        <v>2.4</v>
      </c>
      <c r="H16">
        <v>2.64</v>
      </c>
      <c r="I16">
        <v>0.28000000000000003</v>
      </c>
      <c r="J16">
        <v>1.37</v>
      </c>
      <c r="K16">
        <v>3.7</v>
      </c>
      <c r="L16">
        <v>1.18</v>
      </c>
      <c r="M16">
        <v>2.69</v>
      </c>
      <c r="N16">
        <v>1020</v>
      </c>
      <c r="O16">
        <f t="shared" si="0"/>
        <v>0</v>
      </c>
      <c r="P16" cm="1">
        <f t="array" ref="P16">MMULT(B16:N16,$W$10:$W$22)+$W$9</f>
        <v>-0.69370075146235122</v>
      </c>
      <c r="Q16" t="str">
        <f t="shared" si="1"/>
        <v>V2</v>
      </c>
      <c r="R16">
        <f t="shared" si="2"/>
        <v>1</v>
      </c>
      <c r="U16">
        <v>7</v>
      </c>
      <c r="V16" t="s">
        <v>25</v>
      </c>
      <c r="W16">
        <v>-0.57828360983809823</v>
      </c>
      <c r="X16">
        <v>-0.49193367757692252</v>
      </c>
    </row>
    <row r="17" spans="1:24">
      <c r="A17" t="s">
        <v>14</v>
      </c>
      <c r="B17">
        <v>13.56</v>
      </c>
      <c r="C17">
        <v>1.71</v>
      </c>
      <c r="D17">
        <v>2.31</v>
      </c>
      <c r="E17">
        <v>16.2</v>
      </c>
      <c r="F17">
        <v>117</v>
      </c>
      <c r="G17">
        <v>3.15</v>
      </c>
      <c r="H17">
        <v>3.29</v>
      </c>
      <c r="I17">
        <v>0.34</v>
      </c>
      <c r="J17">
        <v>2.34</v>
      </c>
      <c r="K17">
        <v>6.13</v>
      </c>
      <c r="L17">
        <v>0.95</v>
      </c>
      <c r="M17">
        <v>3.38</v>
      </c>
      <c r="N17">
        <v>795</v>
      </c>
      <c r="O17">
        <f t="shared" si="0"/>
        <v>0</v>
      </c>
      <c r="P17" cm="1">
        <f t="array" ref="P17">MMULT(B17:N17,$W$10:$W$22)+$W$9</f>
        <v>-1.0705737981262851</v>
      </c>
      <c r="Q17" t="str">
        <f t="shared" si="1"/>
        <v>V1</v>
      </c>
      <c r="R17">
        <f t="shared" si="2"/>
        <v>0</v>
      </c>
      <c r="U17">
        <v>6</v>
      </c>
      <c r="V17" t="s">
        <v>26</v>
      </c>
      <c r="W17">
        <v>-0.72926366889677807</v>
      </c>
      <c r="X17">
        <v>-0.45167744932945325</v>
      </c>
    </row>
    <row r="18" spans="1:24">
      <c r="A18" t="s">
        <v>14</v>
      </c>
      <c r="B18">
        <v>14.21</v>
      </c>
      <c r="C18">
        <v>4.04</v>
      </c>
      <c r="D18">
        <v>2.44</v>
      </c>
      <c r="E18">
        <v>18.899999999999999</v>
      </c>
      <c r="F18">
        <v>111</v>
      </c>
      <c r="G18">
        <v>2.85</v>
      </c>
      <c r="H18">
        <v>2.65</v>
      </c>
      <c r="I18">
        <v>0.3</v>
      </c>
      <c r="J18">
        <v>1.25</v>
      </c>
      <c r="K18">
        <v>5.24</v>
      </c>
      <c r="L18">
        <v>0.87</v>
      </c>
      <c r="M18">
        <v>3.33</v>
      </c>
      <c r="N18">
        <v>1080</v>
      </c>
      <c r="O18">
        <f t="shared" si="0"/>
        <v>0</v>
      </c>
      <c r="P18" cm="1">
        <f t="array" ref="P18">MMULT(B18:N18,$W$10:$W$22)+$W$9</f>
        <v>-0.8181652288412069</v>
      </c>
      <c r="Q18" t="str">
        <f t="shared" si="1"/>
        <v>V1</v>
      </c>
      <c r="R18">
        <f t="shared" si="2"/>
        <v>0</v>
      </c>
      <c r="U18">
        <v>5</v>
      </c>
      <c r="V18" t="s">
        <v>27</v>
      </c>
      <c r="W18">
        <v>9.2338869831749756E-3</v>
      </c>
      <c r="X18">
        <v>5.5979674031326997E-2</v>
      </c>
    </row>
    <row r="19" spans="1:24">
      <c r="A19" t="s">
        <v>14</v>
      </c>
      <c r="B19">
        <v>14.38</v>
      </c>
      <c r="C19">
        <v>3.59</v>
      </c>
      <c r="D19">
        <v>2.2799999999999998</v>
      </c>
      <c r="E19">
        <v>16</v>
      </c>
      <c r="F19">
        <v>102</v>
      </c>
      <c r="G19">
        <v>3.25</v>
      </c>
      <c r="H19">
        <v>3.17</v>
      </c>
      <c r="I19">
        <v>0.27</v>
      </c>
      <c r="J19">
        <v>2.19</v>
      </c>
      <c r="K19">
        <v>4.9000000000000004</v>
      </c>
      <c r="L19">
        <v>1.04</v>
      </c>
      <c r="M19">
        <v>3.44</v>
      </c>
      <c r="N19">
        <v>1065</v>
      </c>
      <c r="O19">
        <f t="shared" si="0"/>
        <v>0</v>
      </c>
      <c r="P19" cm="1">
        <f t="array" ref="P19">MMULT(B19:N19,$W$10:$W$22)+$W$9</f>
        <v>-1.110803131399507</v>
      </c>
      <c r="Q19" t="str">
        <f t="shared" si="1"/>
        <v>V1</v>
      </c>
      <c r="R19">
        <f t="shared" si="2"/>
        <v>0</v>
      </c>
      <c r="U19">
        <v>4</v>
      </c>
      <c r="V19" t="s">
        <v>28</v>
      </c>
      <c r="W19">
        <v>3.5081607621836472E-2</v>
      </c>
      <c r="X19">
        <v>5.7973148109840819E-2</v>
      </c>
    </row>
    <row r="20" spans="1:24">
      <c r="A20" t="s">
        <v>14</v>
      </c>
      <c r="B20">
        <v>13.94</v>
      </c>
      <c r="C20">
        <v>1.73</v>
      </c>
      <c r="D20">
        <v>2.27</v>
      </c>
      <c r="E20">
        <v>17.399999999999999</v>
      </c>
      <c r="F20">
        <v>108</v>
      </c>
      <c r="G20">
        <v>2.88</v>
      </c>
      <c r="H20">
        <v>3.54</v>
      </c>
      <c r="I20">
        <v>0.32</v>
      </c>
      <c r="J20">
        <v>2.08</v>
      </c>
      <c r="K20">
        <v>8.9</v>
      </c>
      <c r="L20">
        <v>1.1200000000000001</v>
      </c>
      <c r="M20">
        <v>3.1</v>
      </c>
      <c r="N20">
        <v>1260</v>
      </c>
      <c r="O20">
        <f t="shared" si="0"/>
        <v>0</v>
      </c>
      <c r="P20" cm="1">
        <f t="array" ref="P20">MMULT(B20:N20,$W$10:$W$22)+$W$9</f>
        <v>-1.2065558600194644</v>
      </c>
      <c r="Q20" t="str">
        <f t="shared" si="1"/>
        <v>V1</v>
      </c>
      <c r="R20">
        <f t="shared" si="2"/>
        <v>0</v>
      </c>
      <c r="U20">
        <v>3</v>
      </c>
      <c r="V20" t="s">
        <v>29</v>
      </c>
      <c r="W20">
        <v>-0.17480792985943303</v>
      </c>
      <c r="X20">
        <v>-3.1328139237696208E-2</v>
      </c>
    </row>
    <row r="21" spans="1:24">
      <c r="A21" t="s">
        <v>14</v>
      </c>
      <c r="B21">
        <v>13.29</v>
      </c>
      <c r="C21">
        <v>1.97</v>
      </c>
      <c r="D21">
        <v>2.68</v>
      </c>
      <c r="E21">
        <v>16.8</v>
      </c>
      <c r="F21">
        <v>102</v>
      </c>
      <c r="G21">
        <v>3</v>
      </c>
      <c r="H21">
        <v>3.23</v>
      </c>
      <c r="I21">
        <v>0.31</v>
      </c>
      <c r="J21">
        <v>1.66</v>
      </c>
      <c r="K21">
        <v>6</v>
      </c>
      <c r="L21">
        <v>1.07</v>
      </c>
      <c r="M21">
        <v>2.84</v>
      </c>
      <c r="N21">
        <v>1270</v>
      </c>
      <c r="O21">
        <f t="shared" si="0"/>
        <v>0</v>
      </c>
      <c r="P21" cm="1">
        <f t="array" ref="P21">MMULT(B21:N21,$W$10:$W$22)+$W$9</f>
        <v>-0.95105453107891069</v>
      </c>
      <c r="Q21" t="str">
        <f t="shared" si="1"/>
        <v>V1</v>
      </c>
      <c r="R21">
        <f t="shared" si="2"/>
        <v>0</v>
      </c>
      <c r="U21">
        <v>2</v>
      </c>
      <c r="V21" t="s">
        <v>30</v>
      </c>
      <c r="W21">
        <v>-0.32284018040975543</v>
      </c>
      <c r="X21">
        <v>-0.28277272537019349</v>
      </c>
    </row>
    <row r="22" spans="1:24">
      <c r="A22" t="s">
        <v>15</v>
      </c>
      <c r="B22">
        <v>12.33</v>
      </c>
      <c r="C22">
        <v>1.1000000000000001</v>
      </c>
      <c r="D22">
        <v>2.2799999999999998</v>
      </c>
      <c r="E22">
        <v>16</v>
      </c>
      <c r="F22">
        <v>101</v>
      </c>
      <c r="G22">
        <v>2.0499999999999998</v>
      </c>
      <c r="H22">
        <v>1.0900000000000001</v>
      </c>
      <c r="I22">
        <v>0.63</v>
      </c>
      <c r="J22">
        <v>0.41</v>
      </c>
      <c r="K22">
        <v>3.27</v>
      </c>
      <c r="L22">
        <v>1.25</v>
      </c>
      <c r="M22">
        <v>1.67</v>
      </c>
      <c r="N22">
        <v>680</v>
      </c>
      <c r="O22">
        <f t="shared" si="0"/>
        <v>1</v>
      </c>
      <c r="P22" cm="1">
        <f t="array" ref="P22">MMULT(B22:N22,$W$10:$W$22)+$W$9</f>
        <v>0.30805223937940074</v>
      </c>
      <c r="Q22" t="str">
        <f t="shared" si="1"/>
        <v>V3</v>
      </c>
      <c r="R22">
        <f t="shared" si="2"/>
        <v>1</v>
      </c>
      <c r="U22">
        <v>1</v>
      </c>
      <c r="V22" t="s">
        <v>31</v>
      </c>
      <c r="W22">
        <v>-2.1015800678398272E-4</v>
      </c>
      <c r="X22">
        <v>-6.2089263874296038E-4</v>
      </c>
    </row>
    <row r="23" spans="1:24">
      <c r="A23" t="s">
        <v>15</v>
      </c>
      <c r="B23">
        <v>12.37</v>
      </c>
      <c r="C23">
        <v>1.1299999999999999</v>
      </c>
      <c r="D23">
        <v>2.16</v>
      </c>
      <c r="E23">
        <v>19</v>
      </c>
      <c r="F23">
        <v>87</v>
      </c>
      <c r="G23">
        <v>3.5</v>
      </c>
      <c r="H23">
        <v>3.1</v>
      </c>
      <c r="I23">
        <v>0.19</v>
      </c>
      <c r="J23">
        <v>1.87</v>
      </c>
      <c r="K23">
        <v>4.45</v>
      </c>
      <c r="L23">
        <v>1.22</v>
      </c>
      <c r="M23">
        <v>2.87</v>
      </c>
      <c r="N23">
        <v>420</v>
      </c>
      <c r="O23">
        <f t="shared" si="0"/>
        <v>1</v>
      </c>
      <c r="P23" cm="1">
        <f t="array" ref="P23">MMULT(B23:N23,$W$10:$W$22)+$W$9</f>
        <v>-0.54516679418903102</v>
      </c>
      <c r="Q23" t="str">
        <f t="shared" si="1"/>
        <v>V2</v>
      </c>
      <c r="R23">
        <f t="shared" si="2"/>
        <v>0</v>
      </c>
    </row>
    <row r="24" spans="1:24">
      <c r="A24" t="s">
        <v>15</v>
      </c>
      <c r="B24">
        <v>13.11</v>
      </c>
      <c r="C24">
        <v>1.01</v>
      </c>
      <c r="D24">
        <v>1.7</v>
      </c>
      <c r="E24">
        <v>15</v>
      </c>
      <c r="F24">
        <v>78</v>
      </c>
      <c r="G24">
        <v>2.98</v>
      </c>
      <c r="H24">
        <v>3.18</v>
      </c>
      <c r="I24">
        <v>0.26</v>
      </c>
      <c r="J24">
        <v>2.2799999999999998</v>
      </c>
      <c r="K24">
        <v>5.3</v>
      </c>
      <c r="L24">
        <v>1.1200000000000001</v>
      </c>
      <c r="M24">
        <v>3.18</v>
      </c>
      <c r="N24">
        <v>502</v>
      </c>
      <c r="O24">
        <f t="shared" si="0"/>
        <v>1</v>
      </c>
      <c r="P24" cm="1">
        <f t="array" ref="P24">MMULT(B24:N24,$W$10:$W$22)+$W$9</f>
        <v>-0.8656277809766042</v>
      </c>
      <c r="Q24" t="str">
        <f t="shared" si="1"/>
        <v>V1</v>
      </c>
      <c r="R24">
        <f t="shared" si="2"/>
        <v>1</v>
      </c>
    </row>
    <row r="25" spans="1:24">
      <c r="A25" t="s">
        <v>15</v>
      </c>
      <c r="B25">
        <v>12.7</v>
      </c>
      <c r="C25">
        <v>3.87</v>
      </c>
      <c r="D25">
        <v>2.4</v>
      </c>
      <c r="E25">
        <v>23</v>
      </c>
      <c r="F25">
        <v>101</v>
      </c>
      <c r="G25">
        <v>2.83</v>
      </c>
      <c r="H25">
        <v>2.5499999999999998</v>
      </c>
      <c r="I25">
        <v>0.43</v>
      </c>
      <c r="J25">
        <v>1.95</v>
      </c>
      <c r="K25">
        <v>2.57</v>
      </c>
      <c r="L25">
        <v>1.19</v>
      </c>
      <c r="M25">
        <v>3.13</v>
      </c>
      <c r="N25">
        <v>463</v>
      </c>
      <c r="O25">
        <f t="shared" si="0"/>
        <v>1</v>
      </c>
      <c r="P25" cm="1">
        <f t="array" ref="P25">MMULT(B25:N25,$W$10:$W$22)+$W$9</f>
        <v>-0.6816437161638591</v>
      </c>
      <c r="Q25" t="str">
        <f t="shared" si="1"/>
        <v>V2</v>
      </c>
      <c r="R25">
        <f t="shared" si="2"/>
        <v>0</v>
      </c>
    </row>
    <row r="26" spans="1:24">
      <c r="A26" t="s">
        <v>15</v>
      </c>
      <c r="B26">
        <v>12.72</v>
      </c>
      <c r="C26">
        <v>1.81</v>
      </c>
      <c r="D26">
        <v>2.2000000000000002</v>
      </c>
      <c r="E26">
        <v>18.8</v>
      </c>
      <c r="F26">
        <v>86</v>
      </c>
      <c r="G26">
        <v>2.2000000000000002</v>
      </c>
      <c r="H26">
        <v>2.5299999999999998</v>
      </c>
      <c r="I26">
        <v>0.26</v>
      </c>
      <c r="J26">
        <v>1.77</v>
      </c>
      <c r="K26">
        <v>3.9</v>
      </c>
      <c r="L26">
        <v>1.1599999999999999</v>
      </c>
      <c r="M26">
        <v>3.14</v>
      </c>
      <c r="N26">
        <v>714</v>
      </c>
      <c r="O26">
        <f t="shared" si="0"/>
        <v>1</v>
      </c>
      <c r="P26" cm="1">
        <f t="array" ref="P26">MMULT(B26:N26,$W$10:$W$22)+$W$9</f>
        <v>-0.66889717809117988</v>
      </c>
      <c r="Q26" t="str">
        <f t="shared" si="1"/>
        <v>V2</v>
      </c>
      <c r="R26">
        <f t="shared" si="2"/>
        <v>0</v>
      </c>
    </row>
    <row r="27" spans="1:24">
      <c r="A27" t="s">
        <v>15</v>
      </c>
      <c r="B27">
        <v>12.67</v>
      </c>
      <c r="C27">
        <v>0.98</v>
      </c>
      <c r="D27">
        <v>2.2400000000000002</v>
      </c>
      <c r="E27">
        <v>18</v>
      </c>
      <c r="F27">
        <v>99</v>
      </c>
      <c r="G27">
        <v>2.2000000000000002</v>
      </c>
      <c r="H27">
        <v>1.94</v>
      </c>
      <c r="I27">
        <v>0.3</v>
      </c>
      <c r="J27">
        <v>1.46</v>
      </c>
      <c r="K27">
        <v>2.62</v>
      </c>
      <c r="L27">
        <v>1.23</v>
      </c>
      <c r="M27">
        <v>3.16</v>
      </c>
      <c r="N27">
        <v>450</v>
      </c>
      <c r="O27">
        <f t="shared" si="0"/>
        <v>1</v>
      </c>
      <c r="P27" cm="1">
        <f t="array" ref="P27">MMULT(B27:N27,$W$10:$W$22)+$W$9</f>
        <v>-0.37915599831757918</v>
      </c>
      <c r="Q27" t="str">
        <f t="shared" si="1"/>
        <v>V2</v>
      </c>
      <c r="R27">
        <f t="shared" si="2"/>
        <v>0</v>
      </c>
      <c r="U27" t="s">
        <v>32</v>
      </c>
      <c r="V27" t="s">
        <v>33</v>
      </c>
      <c r="W27" t="s">
        <v>34</v>
      </c>
    </row>
    <row r="28" spans="1:24">
      <c r="A28" t="s">
        <v>15</v>
      </c>
      <c r="B28">
        <v>11.62</v>
      </c>
      <c r="C28">
        <v>1.99</v>
      </c>
      <c r="D28">
        <v>2.2799999999999998</v>
      </c>
      <c r="E28">
        <v>18</v>
      </c>
      <c r="F28">
        <v>98</v>
      </c>
      <c r="G28">
        <v>3.02</v>
      </c>
      <c r="H28">
        <v>2.2599999999999998</v>
      </c>
      <c r="I28">
        <v>0.17</v>
      </c>
      <c r="J28">
        <v>1.35</v>
      </c>
      <c r="K28">
        <v>3.25</v>
      </c>
      <c r="L28">
        <v>1.1599999999999999</v>
      </c>
      <c r="M28">
        <v>2.96</v>
      </c>
      <c r="N28">
        <v>345</v>
      </c>
      <c r="O28">
        <f t="shared" si="0"/>
        <v>1</v>
      </c>
      <c r="P28" cm="1">
        <f t="array" ref="P28">MMULT(B28:N28,$W$10:$W$22)+$W$9</f>
        <v>-0.12857960318888395</v>
      </c>
      <c r="Q28" t="str">
        <f t="shared" si="1"/>
        <v>V2</v>
      </c>
      <c r="R28">
        <f t="shared" si="2"/>
        <v>0</v>
      </c>
      <c r="U28">
        <f>AVERAGEIFS(P$2:P$179,O$2:O$179,U2)</f>
        <v>-0.9981576898824347</v>
      </c>
      <c r="V28">
        <f>COUNTIF(O$2:O$179, U2)</f>
        <v>20</v>
      </c>
      <c r="W28">
        <f>(U28*V28+U29*V29)/(V28+V29)</f>
        <v>-0.75251245279081136</v>
      </c>
    </row>
    <row r="29" spans="1:24">
      <c r="A29" t="s">
        <v>15</v>
      </c>
      <c r="B29">
        <v>11.82</v>
      </c>
      <c r="C29">
        <v>1.72</v>
      </c>
      <c r="D29">
        <v>1.88</v>
      </c>
      <c r="E29">
        <v>19.5</v>
      </c>
      <c r="F29">
        <v>86</v>
      </c>
      <c r="G29">
        <v>2.5</v>
      </c>
      <c r="H29">
        <v>1.64</v>
      </c>
      <c r="I29">
        <v>0.37</v>
      </c>
      <c r="J29">
        <v>1.42</v>
      </c>
      <c r="K29">
        <v>2.06</v>
      </c>
      <c r="L29">
        <v>0.94</v>
      </c>
      <c r="M29">
        <v>2.44</v>
      </c>
      <c r="N29">
        <v>415</v>
      </c>
      <c r="O29">
        <f t="shared" si="0"/>
        <v>1</v>
      </c>
      <c r="P29" cm="1">
        <f t="array" ref="P29">MMULT(B29:N29,$W$10:$W$22)+$W$9</f>
        <v>0.13336164113527094</v>
      </c>
      <c r="Q29" t="str">
        <f t="shared" si="1"/>
        <v>V3</v>
      </c>
      <c r="R29">
        <f t="shared" si="2"/>
        <v>1</v>
      </c>
      <c r="U29">
        <f>AVERAGEIFS(P$2:P$179,O$2:O$179,U3)</f>
        <v>-0.50686721569918802</v>
      </c>
      <c r="V29">
        <f>COUNTIF(O$2:O$179, U3)</f>
        <v>20</v>
      </c>
      <c r="W29">
        <f>(U29*V29+U30*V30)/(V29+V30)</f>
        <v>-2.1195037461657407E-2</v>
      </c>
    </row>
    <row r="30" spans="1:24">
      <c r="A30" t="s">
        <v>15</v>
      </c>
      <c r="B30">
        <v>12.51</v>
      </c>
      <c r="C30">
        <v>1.73</v>
      </c>
      <c r="D30">
        <v>1.98</v>
      </c>
      <c r="E30">
        <v>20.5</v>
      </c>
      <c r="F30">
        <v>85</v>
      </c>
      <c r="G30">
        <v>2.2000000000000002</v>
      </c>
      <c r="H30">
        <v>1.92</v>
      </c>
      <c r="I30">
        <v>0.32</v>
      </c>
      <c r="J30">
        <v>1.48</v>
      </c>
      <c r="K30">
        <v>2.94</v>
      </c>
      <c r="L30">
        <v>1.04</v>
      </c>
      <c r="M30">
        <v>3.57</v>
      </c>
      <c r="N30">
        <v>672</v>
      </c>
      <c r="O30">
        <f t="shared" si="0"/>
        <v>1</v>
      </c>
      <c r="P30" cm="1">
        <f t="array" ref="P30">MMULT(B30:N30,$W$10:$W$22)+$W$9</f>
        <v>-0.49187363348568169</v>
      </c>
      <c r="Q30" t="str">
        <f t="shared" si="1"/>
        <v>V2</v>
      </c>
      <c r="R30">
        <f t="shared" si="2"/>
        <v>0</v>
      </c>
      <c r="U30">
        <f>AVERAGEIFS(P$2:P$179,O$2:O$179,U4)</f>
        <v>0.78825859293422695</v>
      </c>
      <c r="V30">
        <f>COUNTIF(O$2:O$179, U4)</f>
        <v>12</v>
      </c>
    </row>
    <row r="31" spans="1:24">
      <c r="A31" t="s">
        <v>15</v>
      </c>
      <c r="B31">
        <v>12.42</v>
      </c>
      <c r="C31">
        <v>2.5499999999999998</v>
      </c>
      <c r="D31">
        <v>2.27</v>
      </c>
      <c r="E31">
        <v>22</v>
      </c>
      <c r="F31">
        <v>90</v>
      </c>
      <c r="G31">
        <v>1.68</v>
      </c>
      <c r="H31">
        <v>1.84</v>
      </c>
      <c r="I31">
        <v>0.66</v>
      </c>
      <c r="J31">
        <v>1.42</v>
      </c>
      <c r="K31">
        <v>2.7</v>
      </c>
      <c r="L31">
        <v>0.86</v>
      </c>
      <c r="M31">
        <v>3.3</v>
      </c>
      <c r="N31">
        <v>315</v>
      </c>
      <c r="O31">
        <f t="shared" si="0"/>
        <v>1</v>
      </c>
      <c r="P31" cm="1">
        <f t="array" ref="P31">MMULT(B31:N31,$W$10:$W$22)+$W$9</f>
        <v>-0.58142336660825134</v>
      </c>
      <c r="Q31" t="str">
        <f t="shared" si="1"/>
        <v>V2</v>
      </c>
      <c r="R31">
        <f t="shared" si="2"/>
        <v>0</v>
      </c>
    </row>
    <row r="32" spans="1:24">
      <c r="A32" t="s">
        <v>15</v>
      </c>
      <c r="B32">
        <v>11.61</v>
      </c>
      <c r="C32">
        <v>1.35</v>
      </c>
      <c r="D32">
        <v>2.7</v>
      </c>
      <c r="E32">
        <v>20</v>
      </c>
      <c r="F32">
        <v>94</v>
      </c>
      <c r="G32">
        <v>2.74</v>
      </c>
      <c r="H32">
        <v>2.92</v>
      </c>
      <c r="I32">
        <v>0.28999999999999998</v>
      </c>
      <c r="J32">
        <v>2.4900000000000002</v>
      </c>
      <c r="K32">
        <v>2.65</v>
      </c>
      <c r="L32">
        <v>0.96</v>
      </c>
      <c r="M32">
        <v>3.26</v>
      </c>
      <c r="N32">
        <v>680</v>
      </c>
      <c r="O32">
        <f t="shared" si="0"/>
        <v>1</v>
      </c>
      <c r="P32" cm="1">
        <f t="array" ref="P32">MMULT(B32:N32,$W$10:$W$22)+$W$9</f>
        <v>-0.76922948341527286</v>
      </c>
      <c r="Q32" t="str">
        <f t="shared" si="1"/>
        <v>V1</v>
      </c>
      <c r="R32">
        <f t="shared" si="2"/>
        <v>1</v>
      </c>
    </row>
    <row r="33" spans="1:23">
      <c r="A33" t="s">
        <v>15</v>
      </c>
      <c r="B33">
        <v>11.82</v>
      </c>
      <c r="C33">
        <v>1.47</v>
      </c>
      <c r="D33">
        <v>1.99</v>
      </c>
      <c r="E33">
        <v>20.8</v>
      </c>
      <c r="F33">
        <v>86</v>
      </c>
      <c r="G33">
        <v>1.98</v>
      </c>
      <c r="H33">
        <v>1.6</v>
      </c>
      <c r="I33">
        <v>0.3</v>
      </c>
      <c r="J33">
        <v>1.53</v>
      </c>
      <c r="K33">
        <v>1.95</v>
      </c>
      <c r="L33">
        <v>0.95</v>
      </c>
      <c r="M33">
        <v>3.33</v>
      </c>
      <c r="N33">
        <v>495</v>
      </c>
      <c r="O33">
        <f t="shared" si="0"/>
        <v>1</v>
      </c>
      <c r="P33" cm="1">
        <f t="array" ref="P33">MMULT(B33:N33,$W$10:$W$22)+$W$9</f>
        <v>-0.18455453537922351</v>
      </c>
      <c r="Q33" t="str">
        <f t="shared" si="1"/>
        <v>V2</v>
      </c>
      <c r="R33">
        <f t="shared" si="2"/>
        <v>0</v>
      </c>
    </row>
    <row r="34" spans="1:23">
      <c r="A34" t="s">
        <v>15</v>
      </c>
      <c r="B34">
        <v>12</v>
      </c>
      <c r="C34">
        <v>3.43</v>
      </c>
      <c r="D34">
        <v>2</v>
      </c>
      <c r="E34">
        <v>19</v>
      </c>
      <c r="F34">
        <v>87</v>
      </c>
      <c r="G34">
        <v>2</v>
      </c>
      <c r="H34">
        <v>1.64</v>
      </c>
      <c r="I34">
        <v>0.37</v>
      </c>
      <c r="J34">
        <v>1.87</v>
      </c>
      <c r="K34">
        <v>1.28</v>
      </c>
      <c r="L34">
        <v>0.93</v>
      </c>
      <c r="M34">
        <v>3.05</v>
      </c>
      <c r="N34">
        <v>564</v>
      </c>
      <c r="O34">
        <f t="shared" si="0"/>
        <v>1</v>
      </c>
      <c r="P34" cm="1">
        <f t="array" ref="P34">MMULT(B34:N34,$W$10:$W$22)+$W$9</f>
        <v>-0.20821907487783342</v>
      </c>
      <c r="Q34" t="str">
        <f t="shared" si="1"/>
        <v>V2</v>
      </c>
      <c r="R34">
        <f t="shared" si="2"/>
        <v>0</v>
      </c>
      <c r="U34" s="6" t="s">
        <v>47</v>
      </c>
      <c r="V34" s="6"/>
      <c r="W34" s="6">
        <f>SUM(R2:R53)</f>
        <v>9</v>
      </c>
    </row>
    <row r="35" spans="1:23">
      <c r="A35" t="s">
        <v>15</v>
      </c>
      <c r="B35">
        <v>11.45</v>
      </c>
      <c r="C35">
        <v>2.4</v>
      </c>
      <c r="D35">
        <v>2.42</v>
      </c>
      <c r="E35">
        <v>20</v>
      </c>
      <c r="F35">
        <v>96</v>
      </c>
      <c r="G35">
        <v>2.9</v>
      </c>
      <c r="H35">
        <v>2.79</v>
      </c>
      <c r="I35">
        <v>0.32</v>
      </c>
      <c r="J35">
        <v>1.83</v>
      </c>
      <c r="K35">
        <v>3.25</v>
      </c>
      <c r="L35">
        <v>0.8</v>
      </c>
      <c r="M35">
        <v>3.39</v>
      </c>
      <c r="N35">
        <v>625</v>
      </c>
      <c r="O35">
        <f t="shared" si="0"/>
        <v>1</v>
      </c>
      <c r="P35" cm="1">
        <f t="array" ref="P35">MMULT(B35:N35,$W$10:$W$22)+$W$9</f>
        <v>-0.67130384476301996</v>
      </c>
      <c r="Q35" t="str">
        <f t="shared" si="1"/>
        <v>V2</v>
      </c>
      <c r="R35">
        <f t="shared" si="2"/>
        <v>0</v>
      </c>
      <c r="U35" s="6" t="s">
        <v>45</v>
      </c>
      <c r="V35" s="6"/>
      <c r="W35" s="7">
        <f>1-(W34/52)</f>
        <v>0.82692307692307687</v>
      </c>
    </row>
    <row r="36" spans="1:23">
      <c r="A36" t="s">
        <v>15</v>
      </c>
      <c r="B36">
        <v>11.56</v>
      </c>
      <c r="C36">
        <v>2.0499999999999998</v>
      </c>
      <c r="D36">
        <v>3.23</v>
      </c>
      <c r="E36">
        <v>28.5</v>
      </c>
      <c r="F36">
        <v>119</v>
      </c>
      <c r="G36">
        <v>3.18</v>
      </c>
      <c r="H36">
        <v>5.08</v>
      </c>
      <c r="I36">
        <v>0.47</v>
      </c>
      <c r="J36">
        <v>1.87</v>
      </c>
      <c r="K36">
        <v>6</v>
      </c>
      <c r="L36">
        <v>0.93</v>
      </c>
      <c r="M36">
        <v>3.69</v>
      </c>
      <c r="N36">
        <v>465</v>
      </c>
      <c r="O36">
        <f t="shared" si="0"/>
        <v>1</v>
      </c>
      <c r="P36" cm="1">
        <f t="array" ref="P36">MMULT(B36:N36,$W$10:$W$22)+$W$9</f>
        <v>-2.0330504726739114</v>
      </c>
      <c r="Q36" t="str">
        <f t="shared" si="1"/>
        <v>V1</v>
      </c>
      <c r="R36">
        <f t="shared" si="2"/>
        <v>1</v>
      </c>
    </row>
    <row r="37" spans="1:23">
      <c r="A37" t="s">
        <v>15</v>
      </c>
      <c r="B37">
        <v>12.42</v>
      </c>
      <c r="C37">
        <v>4.43</v>
      </c>
      <c r="D37">
        <v>2.73</v>
      </c>
      <c r="E37">
        <v>26.5</v>
      </c>
      <c r="F37">
        <v>102</v>
      </c>
      <c r="G37">
        <v>2.2000000000000002</v>
      </c>
      <c r="H37">
        <v>2.13</v>
      </c>
      <c r="I37">
        <v>0.43</v>
      </c>
      <c r="J37">
        <v>1.71</v>
      </c>
      <c r="K37">
        <v>2.08</v>
      </c>
      <c r="L37">
        <v>0.92</v>
      </c>
      <c r="M37">
        <v>3.12</v>
      </c>
      <c r="N37">
        <v>365</v>
      </c>
      <c r="O37">
        <f t="shared" si="0"/>
        <v>1</v>
      </c>
      <c r="P37" cm="1">
        <f t="array" ref="P37">MMULT(B37:N37,$W$10:$W$22)+$W$9</f>
        <v>-0.45615885944146717</v>
      </c>
      <c r="Q37" t="str">
        <f t="shared" si="1"/>
        <v>V2</v>
      </c>
      <c r="R37">
        <f t="shared" si="2"/>
        <v>0</v>
      </c>
    </row>
    <row r="38" spans="1:23">
      <c r="A38" t="s">
        <v>15</v>
      </c>
      <c r="B38">
        <v>13.05</v>
      </c>
      <c r="C38">
        <v>5.8</v>
      </c>
      <c r="D38">
        <v>2.13</v>
      </c>
      <c r="E38">
        <v>21.5</v>
      </c>
      <c r="F38">
        <v>86</v>
      </c>
      <c r="G38">
        <v>2.62</v>
      </c>
      <c r="H38">
        <v>2.65</v>
      </c>
      <c r="I38">
        <v>0.3</v>
      </c>
      <c r="J38">
        <v>2.0099999999999998</v>
      </c>
      <c r="K38">
        <v>2.6</v>
      </c>
      <c r="L38">
        <v>0.73</v>
      </c>
      <c r="M38">
        <v>3.1</v>
      </c>
      <c r="N38">
        <v>380</v>
      </c>
      <c r="O38">
        <f t="shared" si="0"/>
        <v>1</v>
      </c>
      <c r="P38" cm="1">
        <f t="array" ref="P38">MMULT(B38:N38,$W$10:$W$22)+$W$9</f>
        <v>-0.58859302184544227</v>
      </c>
      <c r="Q38" t="str">
        <f t="shared" si="1"/>
        <v>V2</v>
      </c>
      <c r="R38">
        <f t="shared" si="2"/>
        <v>0</v>
      </c>
    </row>
    <row r="39" spans="1:23">
      <c r="A39" t="s">
        <v>15</v>
      </c>
      <c r="B39">
        <v>11.87</v>
      </c>
      <c r="C39">
        <v>4.3099999999999996</v>
      </c>
      <c r="D39">
        <v>2.39</v>
      </c>
      <c r="E39">
        <v>21</v>
      </c>
      <c r="F39">
        <v>82</v>
      </c>
      <c r="G39">
        <v>2.86</v>
      </c>
      <c r="H39">
        <v>3.03</v>
      </c>
      <c r="I39">
        <v>0.21</v>
      </c>
      <c r="J39">
        <v>2.91</v>
      </c>
      <c r="K39">
        <v>2.8</v>
      </c>
      <c r="L39">
        <v>0.75</v>
      </c>
      <c r="M39">
        <v>3.64</v>
      </c>
      <c r="N39">
        <v>380</v>
      </c>
      <c r="O39">
        <f t="shared" si="0"/>
        <v>1</v>
      </c>
      <c r="P39" cm="1">
        <f t="array" ref="P39">MMULT(B39:N39,$W$10:$W$22)+$W$9</f>
        <v>-0.77353866630759338</v>
      </c>
      <c r="Q39" t="str">
        <f t="shared" si="1"/>
        <v>V1</v>
      </c>
      <c r="R39">
        <f t="shared" si="2"/>
        <v>1</v>
      </c>
    </row>
    <row r="40" spans="1:23">
      <c r="A40" t="s">
        <v>15</v>
      </c>
      <c r="B40">
        <v>12.37</v>
      </c>
      <c r="C40">
        <v>1.63</v>
      </c>
      <c r="D40">
        <v>2.2999999999999998</v>
      </c>
      <c r="E40">
        <v>24.5</v>
      </c>
      <c r="F40">
        <v>88</v>
      </c>
      <c r="G40">
        <v>2.2200000000000002</v>
      </c>
      <c r="H40">
        <v>2.4500000000000002</v>
      </c>
      <c r="I40">
        <v>0.4</v>
      </c>
      <c r="J40">
        <v>1.9</v>
      </c>
      <c r="K40">
        <v>2.12</v>
      </c>
      <c r="L40">
        <v>0.89</v>
      </c>
      <c r="M40">
        <v>2.78</v>
      </c>
      <c r="N40">
        <v>342</v>
      </c>
      <c r="O40">
        <f t="shared" si="0"/>
        <v>1</v>
      </c>
      <c r="P40" cm="1">
        <f t="array" ref="P40">MMULT(B40:N40,$W$10:$W$22)+$W$9</f>
        <v>-0.50200866868729399</v>
      </c>
      <c r="Q40" t="str">
        <f t="shared" si="1"/>
        <v>V2</v>
      </c>
      <c r="R40">
        <f t="shared" si="2"/>
        <v>0</v>
      </c>
    </row>
    <row r="41" spans="1:23">
      <c r="A41" t="s">
        <v>15</v>
      </c>
      <c r="B41">
        <v>12.04</v>
      </c>
      <c r="C41">
        <v>4.3</v>
      </c>
      <c r="D41">
        <v>2.38</v>
      </c>
      <c r="E41">
        <v>22</v>
      </c>
      <c r="F41">
        <v>80</v>
      </c>
      <c r="G41">
        <v>2.1</v>
      </c>
      <c r="H41">
        <v>1.75</v>
      </c>
      <c r="I41">
        <v>0.42</v>
      </c>
      <c r="J41">
        <v>1.35</v>
      </c>
      <c r="K41">
        <v>2.6</v>
      </c>
      <c r="L41">
        <v>0.79</v>
      </c>
      <c r="M41">
        <v>2.57</v>
      </c>
      <c r="N41">
        <v>580</v>
      </c>
      <c r="O41">
        <f t="shared" si="0"/>
        <v>1</v>
      </c>
      <c r="P41" cm="1">
        <f t="array" ref="P41">MMULT(B41:N41,$W$10:$W$22)+$W$9</f>
        <v>-4.9733496086302065E-2</v>
      </c>
      <c r="Q41" t="str">
        <f t="shared" si="1"/>
        <v>V2</v>
      </c>
      <c r="R41">
        <f t="shared" si="2"/>
        <v>0</v>
      </c>
    </row>
    <row r="42" spans="1:23">
      <c r="A42" t="s">
        <v>16</v>
      </c>
      <c r="B42">
        <v>12.86</v>
      </c>
      <c r="C42">
        <v>1.35</v>
      </c>
      <c r="D42">
        <v>2.3199999999999998</v>
      </c>
      <c r="E42">
        <v>18</v>
      </c>
      <c r="F42">
        <v>122</v>
      </c>
      <c r="G42">
        <v>1.51</v>
      </c>
      <c r="H42">
        <v>1.25</v>
      </c>
      <c r="I42">
        <v>0.21</v>
      </c>
      <c r="J42">
        <v>0.94</v>
      </c>
      <c r="K42">
        <v>4.0999999999999996</v>
      </c>
      <c r="L42">
        <v>0.76</v>
      </c>
      <c r="M42">
        <v>1.29</v>
      </c>
      <c r="N42">
        <v>630</v>
      </c>
      <c r="O42">
        <f t="shared" si="0"/>
        <v>2</v>
      </c>
      <c r="P42" cm="1">
        <f t="array" ref="P42">MMULT(B42:N42,$W$10:$W$22)+$W$9</f>
        <v>0.63175438088086677</v>
      </c>
      <c r="Q42" t="str">
        <f t="shared" si="1"/>
        <v>V3</v>
      </c>
      <c r="R42">
        <f t="shared" si="2"/>
        <v>0</v>
      </c>
    </row>
    <row r="43" spans="1:23">
      <c r="A43" t="s">
        <v>16</v>
      </c>
      <c r="B43">
        <v>12.51</v>
      </c>
      <c r="C43">
        <v>1.24</v>
      </c>
      <c r="D43">
        <v>2.25</v>
      </c>
      <c r="E43">
        <v>17.5</v>
      </c>
      <c r="F43">
        <v>85</v>
      </c>
      <c r="G43">
        <v>2</v>
      </c>
      <c r="H43">
        <v>0.57999999999999996</v>
      </c>
      <c r="I43">
        <v>0.6</v>
      </c>
      <c r="J43">
        <v>1.25</v>
      </c>
      <c r="K43">
        <v>5.45</v>
      </c>
      <c r="L43">
        <v>0.75</v>
      </c>
      <c r="M43">
        <v>1.51</v>
      </c>
      <c r="N43">
        <v>650</v>
      </c>
      <c r="O43">
        <f t="shared" si="0"/>
        <v>2</v>
      </c>
      <c r="P43" cm="1">
        <f t="array" ref="P43">MMULT(B43:N43,$W$10:$W$22)+$W$9</f>
        <v>0.85038796167565667</v>
      </c>
      <c r="Q43" t="str">
        <f t="shared" si="1"/>
        <v>V3</v>
      </c>
      <c r="R43">
        <f t="shared" si="2"/>
        <v>0</v>
      </c>
    </row>
    <row r="44" spans="1:23">
      <c r="A44" t="s">
        <v>16</v>
      </c>
      <c r="B44">
        <v>12.6</v>
      </c>
      <c r="C44">
        <v>2.46</v>
      </c>
      <c r="D44">
        <v>2.2000000000000002</v>
      </c>
      <c r="E44">
        <v>18.5</v>
      </c>
      <c r="F44">
        <v>94</v>
      </c>
      <c r="G44">
        <v>1.62</v>
      </c>
      <c r="H44">
        <v>0.66</v>
      </c>
      <c r="I44">
        <v>0.63</v>
      </c>
      <c r="J44">
        <v>0.94</v>
      </c>
      <c r="K44">
        <v>7.1</v>
      </c>
      <c r="L44">
        <v>0.73</v>
      </c>
      <c r="M44">
        <v>1.58</v>
      </c>
      <c r="N44">
        <v>695</v>
      </c>
      <c r="O44">
        <f t="shared" si="0"/>
        <v>2</v>
      </c>
      <c r="P44" cm="1">
        <f t="array" ref="P44">MMULT(B44:N44,$W$10:$W$22)+$W$9</f>
        <v>0.73369485237359311</v>
      </c>
      <c r="Q44" t="str">
        <f t="shared" si="1"/>
        <v>V3</v>
      </c>
      <c r="R44">
        <f t="shared" si="2"/>
        <v>0</v>
      </c>
    </row>
    <row r="45" spans="1:23">
      <c r="A45" t="s">
        <v>16</v>
      </c>
      <c r="B45">
        <v>12.84</v>
      </c>
      <c r="C45">
        <v>2.96</v>
      </c>
      <c r="D45">
        <v>2.61</v>
      </c>
      <c r="E45">
        <v>24</v>
      </c>
      <c r="F45">
        <v>101</v>
      </c>
      <c r="G45">
        <v>2.3199999999999998</v>
      </c>
      <c r="H45">
        <v>0.6</v>
      </c>
      <c r="I45">
        <v>0.53</v>
      </c>
      <c r="J45">
        <v>0.81</v>
      </c>
      <c r="K45">
        <v>4.92</v>
      </c>
      <c r="L45">
        <v>0.89</v>
      </c>
      <c r="M45">
        <v>2.15</v>
      </c>
      <c r="N45">
        <v>590</v>
      </c>
      <c r="O45">
        <f t="shared" si="0"/>
        <v>2</v>
      </c>
      <c r="P45" cm="1">
        <f t="array" ref="P45">MMULT(B45:N45,$W$10:$W$22)+$W$9</f>
        <v>0.69559923072553209</v>
      </c>
      <c r="Q45" t="str">
        <f t="shared" si="1"/>
        <v>V3</v>
      </c>
      <c r="R45">
        <f t="shared" si="2"/>
        <v>0</v>
      </c>
    </row>
    <row r="46" spans="1:23">
      <c r="A46" t="s">
        <v>16</v>
      </c>
      <c r="B46">
        <v>12.25</v>
      </c>
      <c r="C46">
        <v>3.88</v>
      </c>
      <c r="D46">
        <v>2.2000000000000002</v>
      </c>
      <c r="E46">
        <v>18.5</v>
      </c>
      <c r="F46">
        <v>112</v>
      </c>
      <c r="G46">
        <v>1.38</v>
      </c>
      <c r="H46">
        <v>0.78</v>
      </c>
      <c r="I46">
        <v>0.28999999999999998</v>
      </c>
      <c r="J46">
        <v>1.1399999999999999</v>
      </c>
      <c r="K46">
        <v>8.2100000000000009</v>
      </c>
      <c r="L46">
        <v>0.65</v>
      </c>
      <c r="M46">
        <v>2</v>
      </c>
      <c r="N46">
        <v>855</v>
      </c>
      <c r="O46">
        <f t="shared" si="0"/>
        <v>2</v>
      </c>
      <c r="P46" cm="1">
        <f t="array" ref="P46">MMULT(B46:N46,$W$10:$W$22)+$W$9</f>
        <v>0.77005297107121118</v>
      </c>
      <c r="Q46" t="str">
        <f t="shared" si="1"/>
        <v>V3</v>
      </c>
      <c r="R46">
        <f t="shared" si="2"/>
        <v>0</v>
      </c>
    </row>
    <row r="47" spans="1:23">
      <c r="A47" t="s">
        <v>16</v>
      </c>
      <c r="B47">
        <v>13.23</v>
      </c>
      <c r="C47">
        <v>3.3</v>
      </c>
      <c r="D47">
        <v>2.2799999999999998</v>
      </c>
      <c r="E47">
        <v>18.5</v>
      </c>
      <c r="F47">
        <v>98</v>
      </c>
      <c r="G47">
        <v>1.8</v>
      </c>
      <c r="H47">
        <v>0.83</v>
      </c>
      <c r="I47">
        <v>0.61</v>
      </c>
      <c r="J47">
        <v>1.87</v>
      </c>
      <c r="K47">
        <v>10.52</v>
      </c>
      <c r="L47">
        <v>0.56000000000000005</v>
      </c>
      <c r="M47">
        <v>1.51</v>
      </c>
      <c r="N47">
        <v>675</v>
      </c>
      <c r="O47">
        <f t="shared" si="0"/>
        <v>2</v>
      </c>
      <c r="P47" cm="1">
        <f t="array" ref="P47">MMULT(B47:N47,$W$10:$W$22)+$W$9</f>
        <v>0.82151584235400121</v>
      </c>
      <c r="Q47" t="str">
        <f t="shared" si="1"/>
        <v>V3</v>
      </c>
      <c r="R47">
        <f t="shared" si="2"/>
        <v>0</v>
      </c>
    </row>
    <row r="48" spans="1:23">
      <c r="A48" t="s">
        <v>16</v>
      </c>
      <c r="B48">
        <v>12.45</v>
      </c>
      <c r="C48">
        <v>3.03</v>
      </c>
      <c r="D48">
        <v>2.64</v>
      </c>
      <c r="E48">
        <v>27</v>
      </c>
      <c r="F48">
        <v>97</v>
      </c>
      <c r="G48">
        <v>1.9</v>
      </c>
      <c r="H48">
        <v>0.57999999999999996</v>
      </c>
      <c r="I48">
        <v>0.63</v>
      </c>
      <c r="J48">
        <v>1.1399999999999999</v>
      </c>
      <c r="K48">
        <v>7.5</v>
      </c>
      <c r="L48">
        <v>0.67</v>
      </c>
      <c r="M48">
        <v>1.73</v>
      </c>
      <c r="N48">
        <v>880</v>
      </c>
      <c r="O48">
        <f t="shared" si="0"/>
        <v>2</v>
      </c>
      <c r="P48" cm="1">
        <f t="array" ref="P48">MMULT(B48:N48,$W$10:$W$22)+$W$9</f>
        <v>0.80894186573035265</v>
      </c>
      <c r="Q48" t="str">
        <f t="shared" si="1"/>
        <v>V3</v>
      </c>
      <c r="R48">
        <f t="shared" si="2"/>
        <v>0</v>
      </c>
    </row>
    <row r="49" spans="1:18">
      <c r="A49" t="s">
        <v>16</v>
      </c>
      <c r="B49">
        <v>13.78</v>
      </c>
      <c r="C49">
        <v>2.76</v>
      </c>
      <c r="D49">
        <v>2.2999999999999998</v>
      </c>
      <c r="E49">
        <v>22</v>
      </c>
      <c r="F49">
        <v>90</v>
      </c>
      <c r="G49">
        <v>1.35</v>
      </c>
      <c r="H49">
        <v>0.68</v>
      </c>
      <c r="I49">
        <v>0.41</v>
      </c>
      <c r="J49">
        <v>1.03</v>
      </c>
      <c r="K49">
        <v>9.58</v>
      </c>
      <c r="L49">
        <v>0.7</v>
      </c>
      <c r="M49">
        <v>1.68</v>
      </c>
      <c r="N49">
        <v>615</v>
      </c>
      <c r="O49">
        <f t="shared" si="0"/>
        <v>2</v>
      </c>
      <c r="P49" cm="1">
        <f t="array" ref="P49">MMULT(B49:N49,$W$10:$W$22)+$W$9</f>
        <v>0.84436593400842153</v>
      </c>
      <c r="Q49" t="str">
        <f t="shared" si="1"/>
        <v>V3</v>
      </c>
      <c r="R49">
        <f t="shared" si="2"/>
        <v>0</v>
      </c>
    </row>
    <row r="50" spans="1:18">
      <c r="A50" t="s">
        <v>16</v>
      </c>
      <c r="B50">
        <v>13.45</v>
      </c>
      <c r="C50">
        <v>3.7</v>
      </c>
      <c r="D50">
        <v>2.6</v>
      </c>
      <c r="E50">
        <v>23</v>
      </c>
      <c r="F50">
        <v>111</v>
      </c>
      <c r="G50">
        <v>1.7</v>
      </c>
      <c r="H50">
        <v>0.92</v>
      </c>
      <c r="I50">
        <v>0.43</v>
      </c>
      <c r="J50">
        <v>1.46</v>
      </c>
      <c r="K50">
        <v>10.68</v>
      </c>
      <c r="L50">
        <v>0.85</v>
      </c>
      <c r="M50">
        <v>1.56</v>
      </c>
      <c r="N50">
        <v>695</v>
      </c>
      <c r="O50">
        <f t="shared" si="0"/>
        <v>2</v>
      </c>
      <c r="P50" cm="1">
        <f t="array" ref="P50">MMULT(B50:N50,$W$10:$W$22)+$W$9</f>
        <v>0.80762817894377092</v>
      </c>
      <c r="Q50" t="str">
        <f t="shared" si="1"/>
        <v>V3</v>
      </c>
      <c r="R50">
        <f t="shared" si="2"/>
        <v>0</v>
      </c>
    </row>
    <row r="51" spans="1:18">
      <c r="A51" t="s">
        <v>16</v>
      </c>
      <c r="B51">
        <v>12.2</v>
      </c>
      <c r="C51">
        <v>3.03</v>
      </c>
      <c r="D51">
        <v>2.3199999999999998</v>
      </c>
      <c r="E51">
        <v>19</v>
      </c>
      <c r="F51">
        <v>96</v>
      </c>
      <c r="G51">
        <v>1.25</v>
      </c>
      <c r="H51">
        <v>0.49</v>
      </c>
      <c r="I51">
        <v>0.4</v>
      </c>
      <c r="J51">
        <v>0.73</v>
      </c>
      <c r="K51">
        <v>5.5</v>
      </c>
      <c r="L51">
        <v>0.66</v>
      </c>
      <c r="M51">
        <v>1.83</v>
      </c>
      <c r="N51">
        <v>510</v>
      </c>
      <c r="O51">
        <f t="shared" si="0"/>
        <v>2</v>
      </c>
      <c r="P51" cm="1">
        <f t="array" ref="P51">MMULT(B51:N51,$W$10:$W$22)+$W$9</f>
        <v>0.88226618079018149</v>
      </c>
      <c r="Q51" t="str">
        <f t="shared" si="1"/>
        <v>V3</v>
      </c>
      <c r="R51">
        <f t="shared" si="2"/>
        <v>0</v>
      </c>
    </row>
    <row r="52" spans="1:18">
      <c r="A52" t="s">
        <v>16</v>
      </c>
      <c r="B52">
        <v>13.71</v>
      </c>
      <c r="C52">
        <v>5.65</v>
      </c>
      <c r="D52">
        <v>2.4500000000000002</v>
      </c>
      <c r="E52">
        <v>20.5</v>
      </c>
      <c r="F52">
        <v>95</v>
      </c>
      <c r="G52">
        <v>1.68</v>
      </c>
      <c r="H52">
        <v>0.61</v>
      </c>
      <c r="I52">
        <v>0.52</v>
      </c>
      <c r="J52">
        <v>1.06</v>
      </c>
      <c r="K52">
        <v>7.7</v>
      </c>
      <c r="L52">
        <v>0.64</v>
      </c>
      <c r="M52">
        <v>1.74</v>
      </c>
      <c r="N52">
        <v>740</v>
      </c>
      <c r="O52">
        <f t="shared" si="0"/>
        <v>2</v>
      </c>
      <c r="P52" cm="1">
        <f t="array" ref="P52">MMULT(B52:N52,$W$10:$W$22)+$W$9</f>
        <v>0.7701503729433461</v>
      </c>
      <c r="Q52" t="str">
        <f t="shared" si="1"/>
        <v>V3</v>
      </c>
      <c r="R52">
        <f t="shared" si="2"/>
        <v>0</v>
      </c>
    </row>
    <row r="53" spans="1:18">
      <c r="A53" t="s">
        <v>16</v>
      </c>
      <c r="B53">
        <v>14.13</v>
      </c>
      <c r="C53">
        <v>4.0999999999999996</v>
      </c>
      <c r="D53">
        <v>2.74</v>
      </c>
      <c r="E53">
        <v>24.5</v>
      </c>
      <c r="F53">
        <v>96</v>
      </c>
      <c r="G53">
        <v>2.0499999999999998</v>
      </c>
      <c r="H53">
        <v>0.76</v>
      </c>
      <c r="I53">
        <v>0.56000000000000005</v>
      </c>
      <c r="J53">
        <v>1.35</v>
      </c>
      <c r="K53">
        <v>9.1999999999999993</v>
      </c>
      <c r="L53">
        <v>0.61</v>
      </c>
      <c r="M53">
        <v>1.6</v>
      </c>
      <c r="N53">
        <v>560</v>
      </c>
      <c r="O53">
        <f t="shared" si="0"/>
        <v>2</v>
      </c>
      <c r="P53" cm="1">
        <f t="array" ref="P53">MMULT(B53:N53,$W$10:$W$22)+$W$9</f>
        <v>0.84274534371378973</v>
      </c>
      <c r="Q53" t="str">
        <f t="shared" si="1"/>
        <v>V3</v>
      </c>
      <c r="R53">
        <f t="shared" si="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J11" sqref="J11"/>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806E97-D841-4138-B331-5F0B899E37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LDA-Training-Dataset</vt:lpstr>
      <vt:lpstr>Testing-Dataset</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2026-05-15T16:01:55Z</dcterms:modified>
</cp:coreProperties>
</file>