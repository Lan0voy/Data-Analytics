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7661B112-D4EA-454D-B7A0-EE89E5D0A487}" xr6:coauthVersionLast="47" xr6:coauthVersionMax="47" xr10:uidLastSave="{00000000-0000-0000-0000-000000000000}"/>
  <bookViews>
    <workbookView xWindow="-120" yWindow="-120" windowWidth="29040" windowHeight="15720" xr2:uid="{00000000-000D-0000-FFFF-FFFF00000000}"/>
  </bookViews>
  <sheets>
    <sheet name="LDA" sheetId="2" r:id="rId1"/>
    <sheet name="SolverProblem&amp;Solution" sheetId="3" r:id="rId2"/>
  </sheets>
  <definedNames>
    <definedName name="solver_adj" localSheetId="0" hidden="1">LDA!$AI$5:$AI$18</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LDA!$AI$25</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LDA!$AH$29</definedName>
    <definedName name="solver_pre" localSheetId="0" hidden="1">0.000001</definedName>
    <definedName name="solver_rbv" localSheetId="0" hidden="1">1</definedName>
    <definedName name="solver_rel1" localSheetId="0" hidden="1">1</definedName>
    <definedName name="solver_rhs1" localSheetId="0" hidden="1">14</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82" i="2" l="1"/>
  <c r="Z183" i="2"/>
  <c r="Z184" i="2"/>
  <c r="Y184" i="2" a="1"/>
  <c r="Y184" i="2" s="1"/>
  <c r="Y182" i="2" a="1"/>
  <c r="Y182" i="2" s="1"/>
  <c r="Y183" i="2" a="1"/>
  <c r="Y183" i="2" s="1"/>
  <c r="Y4" i="2" a="1"/>
  <c r="Y4" i="2" s="1"/>
  <c r="Y5" i="2" a="1"/>
  <c r="Y5" i="2" s="1"/>
  <c r="Y6" i="2" a="1"/>
  <c r="Y6" i="2" s="1"/>
  <c r="Y7" i="2" a="1"/>
  <c r="Y7" i="2" s="1"/>
  <c r="Y8" i="2" a="1"/>
  <c r="Y8" i="2" s="1"/>
  <c r="Y9" i="2" a="1"/>
  <c r="Y9" i="2" s="1"/>
  <c r="Y10" i="2" a="1"/>
  <c r="Y10" i="2" s="1"/>
  <c r="Y11" i="2" a="1"/>
  <c r="Y11" i="2" s="1"/>
  <c r="Y12" i="2" a="1"/>
  <c r="Y12" i="2" s="1"/>
  <c r="Y13" i="2" a="1"/>
  <c r="Y13" i="2" s="1"/>
  <c r="Y14" i="2" a="1"/>
  <c r="Y14" i="2" s="1"/>
  <c r="Y15" i="2" a="1"/>
  <c r="Y15" i="2" s="1"/>
  <c r="Y16" i="2" a="1"/>
  <c r="Y16" i="2" s="1"/>
  <c r="Y17" i="2" a="1"/>
  <c r="Y17" i="2" s="1"/>
  <c r="Y18" i="2" a="1"/>
  <c r="Y18" i="2" s="1"/>
  <c r="Y19" i="2" a="1"/>
  <c r="Y19" i="2" s="1"/>
  <c r="Y20" i="2" a="1"/>
  <c r="Y20" i="2" s="1"/>
  <c r="Y21" i="2" a="1"/>
  <c r="Y21" i="2" s="1"/>
  <c r="Y22" i="2" a="1"/>
  <c r="Y22" i="2" s="1"/>
  <c r="Y23" i="2" a="1"/>
  <c r="Y23" i="2" s="1"/>
  <c r="Y24" i="2" a="1"/>
  <c r="Y24" i="2" s="1"/>
  <c r="Y25" i="2" a="1"/>
  <c r="Y25" i="2" s="1"/>
  <c r="Y26" i="2" a="1"/>
  <c r="Y26" i="2" s="1"/>
  <c r="Y27" i="2" a="1"/>
  <c r="Y27" i="2" s="1"/>
  <c r="Y28" i="2" a="1"/>
  <c r="Y28" i="2" s="1"/>
  <c r="Y29" i="2" a="1"/>
  <c r="Y29" i="2" s="1"/>
  <c r="Y30" i="2" a="1"/>
  <c r="Y30" i="2" s="1"/>
  <c r="Y31" i="2" a="1"/>
  <c r="Y31" i="2" s="1"/>
  <c r="Y32" i="2" a="1"/>
  <c r="Y32" i="2" s="1"/>
  <c r="Y33" i="2" a="1"/>
  <c r="Y33" i="2" s="1"/>
  <c r="Y34" i="2" a="1"/>
  <c r="Y34" i="2" s="1"/>
  <c r="Y35" i="2" a="1"/>
  <c r="Y35" i="2" s="1"/>
  <c r="Y36" i="2" a="1"/>
  <c r="Y36" i="2" s="1"/>
  <c r="Y37" i="2" a="1"/>
  <c r="Y37" i="2" s="1"/>
  <c r="Y38" i="2" a="1"/>
  <c r="Y38" i="2" s="1"/>
  <c r="Y39" i="2" a="1"/>
  <c r="Y39" i="2" s="1"/>
  <c r="Y40" i="2" a="1"/>
  <c r="Y40" i="2" s="1"/>
  <c r="Y41" i="2" a="1"/>
  <c r="Y41" i="2" s="1"/>
  <c r="Y42" i="2" a="1"/>
  <c r="Y42" i="2" s="1"/>
  <c r="Y43" i="2" a="1"/>
  <c r="Y43" i="2" s="1"/>
  <c r="Y44" i="2" a="1"/>
  <c r="Y44" i="2" s="1"/>
  <c r="Y45" i="2" a="1"/>
  <c r="Y45" i="2" s="1"/>
  <c r="Y46" i="2" a="1"/>
  <c r="Y46" i="2" s="1"/>
  <c r="Y47" i="2" a="1"/>
  <c r="Y47" i="2" s="1"/>
  <c r="Y48" i="2" a="1"/>
  <c r="Y48" i="2" s="1"/>
  <c r="Y49" i="2" a="1"/>
  <c r="Y49" i="2" s="1"/>
  <c r="Y50" i="2" a="1"/>
  <c r="Y50" i="2" s="1"/>
  <c r="Y51" i="2" a="1"/>
  <c r="Y51" i="2" s="1"/>
  <c r="Y52" i="2" a="1"/>
  <c r="Y52" i="2" s="1"/>
  <c r="Y53" i="2" a="1"/>
  <c r="Y53" i="2" s="1"/>
  <c r="Y54" i="2" a="1"/>
  <c r="Y54" i="2" s="1"/>
  <c r="Y55" i="2" a="1"/>
  <c r="Y55" i="2" s="1"/>
  <c r="Y56" i="2" a="1"/>
  <c r="Y56" i="2" s="1"/>
  <c r="Y57" i="2" a="1"/>
  <c r="Y57" i="2" s="1"/>
  <c r="Y58" i="2" a="1"/>
  <c r="Y58" i="2" s="1"/>
  <c r="Y59" i="2" a="1"/>
  <c r="Y59" i="2" s="1"/>
  <c r="Y60" i="2" a="1"/>
  <c r="Y60" i="2" s="1"/>
  <c r="Y61" i="2" a="1"/>
  <c r="Y61" i="2" s="1"/>
  <c r="Y62" i="2" a="1"/>
  <c r="Y62" i="2" s="1"/>
  <c r="Y63" i="2" a="1"/>
  <c r="Y63" i="2" s="1"/>
  <c r="Y64" i="2" a="1"/>
  <c r="Y64" i="2" s="1"/>
  <c r="Y65" i="2" a="1"/>
  <c r="Y65" i="2" s="1"/>
  <c r="Y66" i="2" a="1"/>
  <c r="Y66" i="2" s="1"/>
  <c r="Y67" i="2" a="1"/>
  <c r="Y67" i="2" s="1"/>
  <c r="Y68" i="2" a="1"/>
  <c r="Y68" i="2" s="1"/>
  <c r="Y69" i="2" a="1"/>
  <c r="Y69" i="2" s="1"/>
  <c r="Y70" i="2" a="1"/>
  <c r="Y70" i="2" s="1"/>
  <c r="Y71" i="2" a="1"/>
  <c r="Y71" i="2" s="1"/>
  <c r="Y72" i="2" a="1"/>
  <c r="Y72" i="2" s="1"/>
  <c r="Y73" i="2" a="1"/>
  <c r="Y73" i="2" s="1"/>
  <c r="Y74" i="2" a="1"/>
  <c r="Y74" i="2" s="1"/>
  <c r="Y75" i="2" a="1"/>
  <c r="Y75" i="2" s="1"/>
  <c r="Y76" i="2" a="1"/>
  <c r="Y76" i="2" s="1"/>
  <c r="Y77" i="2" a="1"/>
  <c r="Y77" i="2" s="1"/>
  <c r="Y78" i="2" a="1"/>
  <c r="Y78" i="2" s="1"/>
  <c r="Y79" i="2" a="1"/>
  <c r="Y79" i="2" s="1"/>
  <c r="Y80" i="2" a="1"/>
  <c r="Y80" i="2" s="1"/>
  <c r="Y81" i="2" a="1"/>
  <c r="Y81" i="2" s="1"/>
  <c r="Y82" i="2" a="1"/>
  <c r="Y82" i="2" s="1"/>
  <c r="Y83" i="2" a="1"/>
  <c r="Y83" i="2" s="1"/>
  <c r="Y84" i="2" a="1"/>
  <c r="Y84" i="2" s="1"/>
  <c r="Y85" i="2" a="1"/>
  <c r="Y85" i="2" s="1"/>
  <c r="Y86" i="2" a="1"/>
  <c r="Y86" i="2" s="1"/>
  <c r="Y87" i="2" a="1"/>
  <c r="Y87" i="2" s="1"/>
  <c r="Y88" i="2" a="1"/>
  <c r="Y88" i="2" s="1"/>
  <c r="Y89" i="2" a="1"/>
  <c r="Y89" i="2" s="1"/>
  <c r="Y90" i="2" a="1"/>
  <c r="Y90" i="2" s="1"/>
  <c r="Y91" i="2" a="1"/>
  <c r="Y91" i="2" s="1"/>
  <c r="Y92" i="2" a="1"/>
  <c r="Y92" i="2" s="1"/>
  <c r="Y93" i="2" a="1"/>
  <c r="Y93" i="2" s="1"/>
  <c r="Y94" i="2" a="1"/>
  <c r="Y94" i="2" s="1"/>
  <c r="Y95" i="2" a="1"/>
  <c r="Y95" i="2" s="1"/>
  <c r="Y96" i="2" a="1"/>
  <c r="Y96" i="2" s="1"/>
  <c r="Y97" i="2" a="1"/>
  <c r="Y97" i="2" s="1"/>
  <c r="Y98" i="2" a="1"/>
  <c r="Y98" i="2" s="1"/>
  <c r="Y99" i="2" a="1"/>
  <c r="Y99" i="2" s="1"/>
  <c r="Y100" i="2" a="1"/>
  <c r="Y100" i="2" s="1"/>
  <c r="Y101" i="2" a="1"/>
  <c r="Y101" i="2" s="1"/>
  <c r="Y102" i="2" a="1"/>
  <c r="Y102" i="2" s="1"/>
  <c r="Y103" i="2" a="1"/>
  <c r="Y103" i="2" s="1"/>
  <c r="Y104" i="2" a="1"/>
  <c r="Y104" i="2" s="1"/>
  <c r="Y105" i="2" a="1"/>
  <c r="Y105" i="2" s="1"/>
  <c r="Y106" i="2" a="1"/>
  <c r="Y106" i="2" s="1"/>
  <c r="Y107" i="2" a="1"/>
  <c r="Y107" i="2" s="1"/>
  <c r="Y108" i="2" a="1"/>
  <c r="Y108" i="2" s="1"/>
  <c r="Y109" i="2" a="1"/>
  <c r="Y109" i="2" s="1"/>
  <c r="Y110" i="2" a="1"/>
  <c r="Y110" i="2" s="1"/>
  <c r="Y111" i="2" a="1"/>
  <c r="Y111" i="2" s="1"/>
  <c r="Y112" i="2" a="1"/>
  <c r="Y112" i="2" s="1"/>
  <c r="Y113" i="2" a="1"/>
  <c r="Y113" i="2" s="1"/>
  <c r="Y114" i="2" a="1"/>
  <c r="Y114" i="2" s="1"/>
  <c r="Y115" i="2" a="1"/>
  <c r="Y115" i="2" s="1"/>
  <c r="Y116" i="2" a="1"/>
  <c r="Y116" i="2" s="1"/>
  <c r="Y117" i="2" a="1"/>
  <c r="Y117" i="2" s="1"/>
  <c r="Y118" i="2" a="1"/>
  <c r="Y118" i="2" s="1"/>
  <c r="Y119" i="2" a="1"/>
  <c r="Y119" i="2" s="1"/>
  <c r="Y120" i="2" a="1"/>
  <c r="Y120" i="2" s="1"/>
  <c r="Y121" i="2" a="1"/>
  <c r="Y121" i="2" s="1"/>
  <c r="Y122" i="2" a="1"/>
  <c r="Y122" i="2" s="1"/>
  <c r="Y123" i="2" a="1"/>
  <c r="Y123" i="2" s="1"/>
  <c r="Y124" i="2" a="1"/>
  <c r="Y124" i="2" s="1"/>
  <c r="Y125" i="2" a="1"/>
  <c r="Y125" i="2" s="1"/>
  <c r="Y126" i="2" a="1"/>
  <c r="Y126" i="2" s="1"/>
  <c r="Y127" i="2" a="1"/>
  <c r="Y127" i="2" s="1"/>
  <c r="Y128" i="2" a="1"/>
  <c r="Y128" i="2" s="1"/>
  <c r="Y129" i="2" a="1"/>
  <c r="Y129" i="2" s="1"/>
  <c r="Y130" i="2" a="1"/>
  <c r="Y130" i="2" s="1"/>
  <c r="Y131" i="2" a="1"/>
  <c r="Y131" i="2" s="1"/>
  <c r="Y132" i="2" a="1"/>
  <c r="Y132" i="2" s="1"/>
  <c r="Y133" i="2" a="1"/>
  <c r="Y133" i="2" s="1"/>
  <c r="Y134" i="2" a="1"/>
  <c r="Y134" i="2" s="1"/>
  <c r="Y135" i="2" a="1"/>
  <c r="Y135" i="2" s="1"/>
  <c r="Y136" i="2" a="1"/>
  <c r="Y136" i="2" s="1"/>
  <c r="Y137" i="2" a="1"/>
  <c r="Y137" i="2" s="1"/>
  <c r="Y138" i="2" a="1"/>
  <c r="Y138" i="2" s="1"/>
  <c r="Y139" i="2" a="1"/>
  <c r="Y139" i="2" s="1"/>
  <c r="Y140" i="2" a="1"/>
  <c r="Y140" i="2" s="1"/>
  <c r="Y141" i="2" a="1"/>
  <c r="Y141" i="2" s="1"/>
  <c r="Y142" i="2" a="1"/>
  <c r="Y142" i="2" s="1"/>
  <c r="Y143" i="2" a="1"/>
  <c r="Y143" i="2" s="1"/>
  <c r="Y144" i="2" a="1"/>
  <c r="Y144" i="2" s="1"/>
  <c r="Y145" i="2" a="1"/>
  <c r="Y145" i="2" s="1"/>
  <c r="Y146" i="2" a="1"/>
  <c r="Y146" i="2" s="1"/>
  <c r="Y147" i="2" a="1"/>
  <c r="Y147" i="2" s="1"/>
  <c r="Y148" i="2" a="1"/>
  <c r="Y148" i="2" s="1"/>
  <c r="Y149" i="2" a="1"/>
  <c r="Y149" i="2" s="1"/>
  <c r="Y150" i="2" a="1"/>
  <c r="Y150" i="2" s="1"/>
  <c r="Y151" i="2" a="1"/>
  <c r="Y151" i="2" s="1"/>
  <c r="Y152" i="2" a="1"/>
  <c r="Y152" i="2" s="1"/>
  <c r="Y153" i="2" a="1"/>
  <c r="Y153" i="2" s="1"/>
  <c r="Y154" i="2" a="1"/>
  <c r="Y154" i="2" s="1"/>
  <c r="Y155" i="2" a="1"/>
  <c r="Y155" i="2" s="1"/>
  <c r="Y156" i="2" a="1"/>
  <c r="Y156" i="2" s="1"/>
  <c r="Y157" i="2" a="1"/>
  <c r="Y157" i="2" s="1"/>
  <c r="Y158" i="2" a="1"/>
  <c r="Y158" i="2" s="1"/>
  <c r="Y159" i="2" a="1"/>
  <c r="Y159" i="2" s="1"/>
  <c r="Y160" i="2" a="1"/>
  <c r="Y160" i="2" s="1"/>
  <c r="Y161" i="2" a="1"/>
  <c r="Y161" i="2" s="1"/>
  <c r="Y162" i="2" a="1"/>
  <c r="Y162" i="2" s="1"/>
  <c r="Y163" i="2" a="1"/>
  <c r="Y163" i="2" s="1"/>
  <c r="Y164" i="2" a="1"/>
  <c r="Y164" i="2" s="1"/>
  <c r="Y165" i="2" a="1"/>
  <c r="Y165" i="2" s="1"/>
  <c r="Y166" i="2" a="1"/>
  <c r="Y166" i="2" s="1"/>
  <c r="Y167" i="2" a="1"/>
  <c r="Y167" i="2" s="1"/>
  <c r="Y168" i="2" a="1"/>
  <c r="Y168" i="2" s="1"/>
  <c r="Y169" i="2" a="1"/>
  <c r="Y169" i="2" s="1"/>
  <c r="Y170" i="2" a="1"/>
  <c r="Y170" i="2" s="1"/>
  <c r="Y171" i="2" a="1"/>
  <c r="Y171" i="2" s="1"/>
  <c r="Y172" i="2" a="1"/>
  <c r="Y172" i="2" s="1"/>
  <c r="Y173" i="2" a="1"/>
  <c r="Y173" i="2" s="1"/>
  <c r="Y174" i="2" a="1"/>
  <c r="Y174" i="2" s="1"/>
  <c r="Y175" i="2" a="1"/>
  <c r="Y175" i="2" s="1"/>
  <c r="Y176" i="2" a="1"/>
  <c r="Y176" i="2" s="1"/>
  <c r="Y177" i="2" a="1"/>
  <c r="Y177" i="2" s="1"/>
  <c r="Y178" i="2" a="1"/>
  <c r="Y178" i="2" s="1"/>
  <c r="Y179" i="2" a="1"/>
  <c r="Y179" i="2" s="1"/>
  <c r="Y2" i="2" a="1"/>
  <c r="Y2" i="2" s="1"/>
  <c r="Y3" i="2" a="1"/>
  <c r="Y3" i="2" s="1"/>
  <c r="AH22" i="2"/>
  <c r="AH23" i="2"/>
  <c r="AH21" i="2"/>
  <c r="AG22" i="2" l="1"/>
  <c r="AB62" i="2" s="1"/>
  <c r="AG23" i="2"/>
  <c r="AB163" i="2" s="1"/>
  <c r="AG21" i="2"/>
  <c r="AB60" i="2" l="1"/>
  <c r="AH27" i="2"/>
  <c r="AB73" i="2"/>
  <c r="AB63" i="2"/>
  <c r="AB75" i="2"/>
  <c r="AB42" i="2"/>
  <c r="AB55" i="2"/>
  <c r="AB56" i="2"/>
  <c r="AB45" i="2"/>
  <c r="AB58" i="2"/>
  <c r="AB69" i="2"/>
  <c r="AB48" i="2"/>
  <c r="AB85" i="2"/>
  <c r="AB74" i="2"/>
  <c r="AB87" i="2"/>
  <c r="AB54" i="2"/>
  <c r="AB66" i="2"/>
  <c r="AB67" i="2"/>
  <c r="AB57" i="2"/>
  <c r="AB80" i="2"/>
  <c r="AB81" i="2"/>
  <c r="AB120" i="2"/>
  <c r="AB97" i="2"/>
  <c r="AB86" i="2"/>
  <c r="AB99" i="2"/>
  <c r="AB112" i="2"/>
  <c r="AB113" i="2"/>
  <c r="AB78" i="2"/>
  <c r="AB68" i="2"/>
  <c r="AB92" i="2"/>
  <c r="AB93" i="2"/>
  <c r="AB70" i="2"/>
  <c r="AB108" i="2"/>
  <c r="AB131" i="2"/>
  <c r="AB109" i="2"/>
  <c r="AB98" i="2"/>
  <c r="AB111" i="2"/>
  <c r="AB123" i="2"/>
  <c r="AB124" i="2"/>
  <c r="AB90" i="2"/>
  <c r="AB79" i="2"/>
  <c r="AB104" i="2"/>
  <c r="AB105" i="2"/>
  <c r="AB82" i="2"/>
  <c r="AB52" i="2"/>
  <c r="AB3" i="2"/>
  <c r="AB28" i="2"/>
  <c r="AB40" i="2"/>
  <c r="AB17" i="2"/>
  <c r="AB29" i="2"/>
  <c r="AB41" i="2"/>
  <c r="AB53" i="2"/>
  <c r="AB152" i="2"/>
  <c r="AB25" i="2"/>
  <c r="AB110" i="2"/>
  <c r="AB134" i="2"/>
  <c r="AB145" i="2"/>
  <c r="AB135" i="2"/>
  <c r="AB102" i="2"/>
  <c r="AB91" i="2"/>
  <c r="AB116" i="2"/>
  <c r="AB117" i="2"/>
  <c r="AB94" i="2"/>
  <c r="AB144" i="2"/>
  <c r="AB157" i="2"/>
  <c r="AB146" i="2"/>
  <c r="AB114" i="2"/>
  <c r="AB103" i="2"/>
  <c r="AB127" i="2"/>
  <c r="AB128" i="2"/>
  <c r="AB106" i="2"/>
  <c r="AB96" i="2"/>
  <c r="AB121" i="2"/>
  <c r="AB49" i="2"/>
  <c r="AB26" i="2"/>
  <c r="AB165" i="2"/>
  <c r="AB142" i="2"/>
  <c r="AB133" i="2"/>
  <c r="AB156" i="2"/>
  <c r="AB169" i="2"/>
  <c r="AB158" i="2"/>
  <c r="AB147" i="2"/>
  <c r="AB115" i="2"/>
  <c r="AB138" i="2"/>
  <c r="AB139" i="2"/>
  <c r="AB118" i="2"/>
  <c r="AB13" i="2"/>
  <c r="AB122" i="2"/>
  <c r="AB177" i="2"/>
  <c r="AB154" i="2"/>
  <c r="AB143" i="2"/>
  <c r="AB168" i="2"/>
  <c r="AB174" i="2"/>
  <c r="AB170" i="2"/>
  <c r="AB159" i="2"/>
  <c r="AB126" i="2"/>
  <c r="AB11" i="2"/>
  <c r="AB150" i="2"/>
  <c r="AB129" i="2"/>
  <c r="AB119" i="2"/>
  <c r="AB132" i="2"/>
  <c r="AB71" i="2"/>
  <c r="AB50" i="2"/>
  <c r="AB15" i="2"/>
  <c r="AB166" i="2"/>
  <c r="AB155" i="2"/>
  <c r="AB2" i="2"/>
  <c r="AB7" i="2"/>
  <c r="AB8" i="2"/>
  <c r="AB171" i="2"/>
  <c r="AB10" i="2"/>
  <c r="AB23" i="2"/>
  <c r="AB162" i="2"/>
  <c r="AB140" i="2"/>
  <c r="AB130" i="2"/>
  <c r="AB164" i="2"/>
  <c r="AB153" i="2"/>
  <c r="AB83" i="2"/>
  <c r="AB27" i="2"/>
  <c r="AB178" i="2"/>
  <c r="AB167" i="2"/>
  <c r="AB6" i="2"/>
  <c r="AB19" i="2"/>
  <c r="AB20" i="2"/>
  <c r="AB9" i="2"/>
  <c r="AB22" i="2"/>
  <c r="AB35" i="2"/>
  <c r="AB12" i="2"/>
  <c r="AB151" i="2"/>
  <c r="AB76" i="2"/>
  <c r="AB64" i="2"/>
  <c r="AB100" i="2"/>
  <c r="AB65" i="2"/>
  <c r="AB77" i="2"/>
  <c r="AB89" i="2"/>
  <c r="AB101" i="2"/>
  <c r="AB125" i="2"/>
  <c r="AB88" i="2"/>
  <c r="AB176" i="2"/>
  <c r="AB14" i="2"/>
  <c r="AB38" i="2"/>
  <c r="AB95" i="2"/>
  <c r="AB72" i="2"/>
  <c r="AB39" i="2"/>
  <c r="AB4" i="2"/>
  <c r="AB179" i="2"/>
  <c r="AB18" i="2"/>
  <c r="AB31" i="2"/>
  <c r="AB32" i="2"/>
  <c r="AB21" i="2"/>
  <c r="AB34" i="2"/>
  <c r="AB47" i="2"/>
  <c r="AB24" i="2"/>
  <c r="AB160" i="2"/>
  <c r="AB137" i="2"/>
  <c r="AB149" i="2"/>
  <c r="AB161" i="2"/>
  <c r="AB173" i="2"/>
  <c r="AB172" i="2"/>
  <c r="AB148" i="2"/>
  <c r="AB136" i="2"/>
  <c r="AB141" i="2"/>
  <c r="AB37" i="2"/>
  <c r="AB61" i="2"/>
  <c r="AB107" i="2"/>
  <c r="AB84" i="2"/>
  <c r="AB51" i="2"/>
  <c r="AB16" i="2"/>
  <c r="AB5" i="2"/>
  <c r="AB30" i="2"/>
  <c r="AB43" i="2"/>
  <c r="AB44" i="2"/>
  <c r="AB33" i="2"/>
  <c r="AB46" i="2"/>
  <c r="AB59" i="2"/>
  <c r="AB36" i="2"/>
  <c r="AB175" i="2"/>
  <c r="AI21" i="2"/>
  <c r="AI22" i="2"/>
  <c r="Z24" i="2" l="1"/>
  <c r="AA24" i="2" s="1"/>
  <c r="Z44" i="2"/>
  <c r="AA44" i="2" s="1"/>
  <c r="Z112" i="2"/>
  <c r="AA112" i="2" s="1"/>
  <c r="Z72" i="2"/>
  <c r="AA72" i="2" s="1"/>
  <c r="Z21" i="2"/>
  <c r="AA21" i="2" s="1"/>
  <c r="Z170" i="2"/>
  <c r="AA170" i="2" s="1"/>
  <c r="Z91" i="2"/>
  <c r="AA91" i="2" s="1"/>
  <c r="Z45" i="2"/>
  <c r="AA45" i="2" s="1"/>
  <c r="Z17" i="2"/>
  <c r="AA17" i="2" s="1"/>
  <c r="Z73" i="2"/>
  <c r="AA73" i="2" s="1"/>
  <c r="Z7" i="2"/>
  <c r="AA7" i="2" s="1"/>
  <c r="Z42" i="2"/>
  <c r="AA42" i="2" s="1"/>
  <c r="Z43" i="2"/>
  <c r="AA43" i="2" s="1"/>
  <c r="Z64" i="2"/>
  <c r="AA64" i="2" s="1"/>
  <c r="Z117" i="2"/>
  <c r="AA117" i="2" s="1"/>
  <c r="Z52" i="2"/>
  <c r="AA52" i="2" s="1"/>
  <c r="Z76" i="2"/>
  <c r="AA76" i="2" s="1"/>
  <c r="Z30" i="2"/>
  <c r="AA30" i="2" s="1"/>
  <c r="Z35" i="2"/>
  <c r="AA35" i="2" s="1"/>
  <c r="Z79" i="2"/>
  <c r="AA79" i="2" s="1"/>
  <c r="Z159" i="2"/>
  <c r="AA159" i="2" s="1"/>
  <c r="Z29" i="2"/>
  <c r="AA29" i="2" s="1"/>
  <c r="Z69" i="2"/>
  <c r="AA69" i="2" s="1"/>
  <c r="Z94" i="2"/>
  <c r="AA94" i="2" s="1"/>
  <c r="Z139" i="2"/>
  <c r="AA139" i="2" s="1"/>
  <c r="Z34" i="2"/>
  <c r="AA34" i="2" s="1"/>
  <c r="Z90" i="2"/>
  <c r="AA90" i="2" s="1"/>
  <c r="Z141" i="2"/>
  <c r="AA141" i="2" s="1"/>
  <c r="Z9" i="2"/>
  <c r="AA9" i="2" s="1"/>
  <c r="Z149" i="2"/>
  <c r="AA149" i="2" s="1"/>
  <c r="Z93" i="2"/>
  <c r="AA93" i="2" s="1"/>
  <c r="Z173" i="2"/>
  <c r="AA173" i="2" s="1"/>
  <c r="Z62" i="2"/>
  <c r="AA62" i="2" s="1"/>
  <c r="Z58" i="2"/>
  <c r="AA58" i="2" s="1"/>
  <c r="Z40" i="2"/>
  <c r="AA40" i="2" s="1"/>
  <c r="Z37" i="2"/>
  <c r="AA37" i="2" s="1"/>
  <c r="Z38" i="2"/>
  <c r="AA38" i="2" s="1"/>
  <c r="Z102" i="2"/>
  <c r="AA102" i="2" s="1"/>
  <c r="Z172" i="2"/>
  <c r="AA172" i="2" s="1"/>
  <c r="Z33" i="2"/>
  <c r="AA33" i="2" s="1"/>
  <c r="Z129" i="2"/>
  <c r="AA129" i="2" s="1"/>
  <c r="Z123" i="2"/>
  <c r="AA123" i="2" s="1"/>
  <c r="Z163" i="2"/>
  <c r="AA163" i="2" s="1"/>
  <c r="Z95" i="2"/>
  <c r="AA95" i="2" s="1"/>
  <c r="Z128" i="2"/>
  <c r="AA128" i="2" s="1"/>
  <c r="Z107" i="2"/>
  <c r="AA107" i="2" s="1"/>
  <c r="Z28" i="2"/>
  <c r="AA28" i="2" s="1"/>
  <c r="Z110" i="2"/>
  <c r="AA110" i="2" s="1"/>
  <c r="Z137" i="2"/>
  <c r="AA137" i="2" s="1"/>
  <c r="Z27" i="2"/>
  <c r="AA27" i="2" s="1"/>
  <c r="Z51" i="2"/>
  <c r="AA51" i="2" s="1"/>
  <c r="Z41" i="2"/>
  <c r="AA41" i="2" s="1"/>
  <c r="Z166" i="2"/>
  <c r="AA166" i="2" s="1"/>
  <c r="Z15" i="2"/>
  <c r="AA15" i="2" s="1"/>
  <c r="Z142" i="2"/>
  <c r="AA142" i="2" s="1"/>
  <c r="Z5" i="2"/>
  <c r="AA5" i="2" s="1"/>
  <c r="Z25" i="2"/>
  <c r="AA25" i="2" s="1"/>
  <c r="Z54" i="2"/>
  <c r="AA54" i="2" s="1"/>
  <c r="Z171" i="2"/>
  <c r="AA171" i="2" s="1"/>
  <c r="Z105" i="2"/>
  <c r="AA105" i="2" s="1"/>
  <c r="Z18" i="2"/>
  <c r="AA18" i="2" s="1"/>
  <c r="Z48" i="2"/>
  <c r="AA48" i="2" s="1"/>
  <c r="AH28" i="2"/>
  <c r="AH29" i="2" s="1"/>
  <c r="Z106" i="2"/>
  <c r="AA106" i="2" s="1"/>
  <c r="Z155" i="2"/>
  <c r="AA155" i="2" s="1"/>
  <c r="Z134" i="2"/>
  <c r="AA134" i="2" s="1"/>
  <c r="Z126" i="2"/>
  <c r="AA126" i="2" s="1"/>
  <c r="Z74" i="2"/>
  <c r="AA74" i="2" s="1"/>
  <c r="Z119" i="2"/>
  <c r="AA119" i="2" s="1"/>
  <c r="Z13" i="2"/>
  <c r="AA13" i="2" s="1"/>
  <c r="Z66" i="2"/>
  <c r="AA66" i="2" s="1"/>
  <c r="Z161" i="2"/>
  <c r="AA161" i="2" s="1"/>
  <c r="Z127" i="2"/>
  <c r="AA127" i="2" s="1"/>
  <c r="Z22" i="2"/>
  <c r="AA22" i="2" s="1"/>
  <c r="Z98" i="2"/>
  <c r="AA98" i="2" s="1"/>
  <c r="Z31" i="2"/>
  <c r="AA31" i="2" s="1"/>
  <c r="Z49" i="2"/>
  <c r="AA49" i="2" s="1"/>
  <c r="Z151" i="2"/>
  <c r="AA151" i="2" s="1"/>
  <c r="Z11" i="2"/>
  <c r="AA11" i="2" s="1"/>
  <c r="Z120" i="2"/>
  <c r="AA120" i="2" s="1"/>
  <c r="Z169" i="2"/>
  <c r="AA169" i="2" s="1"/>
  <c r="Z84" i="2"/>
  <c r="AA84" i="2" s="1"/>
  <c r="Z140" i="2"/>
  <c r="AA140" i="2" s="1"/>
  <c r="Z165" i="2"/>
  <c r="AA165" i="2" s="1"/>
  <c r="Z78" i="2"/>
  <c r="AA78" i="2" s="1"/>
  <c r="Z32" i="2"/>
  <c r="AA32" i="2" s="1"/>
  <c r="Z63" i="2"/>
  <c r="AA63" i="2" s="1"/>
  <c r="Z111" i="2"/>
  <c r="AA111" i="2" s="1"/>
  <c r="Z20" i="2"/>
  <c r="AA20" i="2" s="1"/>
  <c r="Z57" i="2"/>
  <c r="AA57" i="2" s="1"/>
  <c r="Z118" i="2"/>
  <c r="AA118" i="2" s="1"/>
  <c r="Z60" i="2"/>
  <c r="AA60" i="2" s="1"/>
  <c r="Z135" i="2"/>
  <c r="AA135" i="2" s="1"/>
  <c r="Z14" i="2"/>
  <c r="AA14" i="2" s="1"/>
  <c r="Z97" i="2"/>
  <c r="AA97" i="2" s="1"/>
  <c r="Z103" i="2"/>
  <c r="AA103" i="2" s="1"/>
  <c r="Z178" i="2"/>
  <c r="AA178" i="2" s="1"/>
  <c r="Z176" i="2"/>
  <c r="AA176" i="2" s="1"/>
  <c r="Z153" i="2"/>
  <c r="AA153" i="2" s="1"/>
  <c r="Z148" i="2"/>
  <c r="AA148" i="2" s="1"/>
  <c r="Z10" i="2"/>
  <c r="AA10" i="2" s="1"/>
  <c r="Z67" i="2"/>
  <c r="AA67" i="2" s="1"/>
  <c r="Z36" i="2"/>
  <c r="AA36" i="2" s="1"/>
  <c r="Z154" i="2"/>
  <c r="AA154" i="2" s="1"/>
  <c r="Z16" i="2"/>
  <c r="AA16" i="2" s="1"/>
  <c r="Z158" i="2"/>
  <c r="AA158" i="2" s="1"/>
  <c r="Z131" i="2"/>
  <c r="AA131" i="2" s="1"/>
  <c r="Z8" i="2"/>
  <c r="AA8" i="2" s="1"/>
  <c r="Z50" i="2"/>
  <c r="AA50" i="2" s="1"/>
  <c r="Z23" i="2"/>
  <c r="AA23" i="2" s="1"/>
  <c r="Z86" i="2"/>
  <c r="AA86" i="2" s="1"/>
  <c r="Z6" i="2"/>
  <c r="AA6" i="2" s="1"/>
  <c r="Z122" i="2"/>
  <c r="AA122" i="2" s="1"/>
  <c r="Z116" i="2"/>
  <c r="AA116" i="2" s="1"/>
  <c r="Z70" i="2"/>
  <c r="AA70" i="2" s="1"/>
  <c r="Z124" i="2"/>
  <c r="AA124" i="2" s="1"/>
  <c r="Z175" i="2"/>
  <c r="AA175" i="2" s="1"/>
  <c r="Z160" i="2"/>
  <c r="AA160" i="2" s="1"/>
  <c r="Z3" i="2"/>
  <c r="AA3" i="2" s="1"/>
  <c r="Z96" i="2"/>
  <c r="AA96" i="2" s="1"/>
  <c r="Z152" i="2"/>
  <c r="AA152" i="2" s="1"/>
  <c r="Z81" i="2"/>
  <c r="AA81" i="2" s="1"/>
  <c r="Z167" i="2"/>
  <c r="AA167" i="2" s="1"/>
  <c r="Z99" i="2"/>
  <c r="AA99" i="2" s="1"/>
  <c r="Z19" i="2"/>
  <c r="AA19" i="2" s="1"/>
  <c r="Z46" i="2"/>
  <c r="AA46" i="2" s="1"/>
  <c r="Z179" i="2"/>
  <c r="AA179" i="2" s="1"/>
  <c r="Z100" i="2"/>
  <c r="AA100" i="2" s="1"/>
  <c r="Z138" i="2"/>
  <c r="AA138" i="2" s="1"/>
  <c r="Z130" i="2"/>
  <c r="AA130" i="2" s="1"/>
  <c r="Z125" i="2"/>
  <c r="AA125" i="2" s="1"/>
  <c r="Z147" i="2"/>
  <c r="AA147" i="2" s="1"/>
  <c r="Z26" i="2"/>
  <c r="AA26" i="2" s="1"/>
  <c r="Z145" i="2"/>
  <c r="AA145" i="2" s="1"/>
  <c r="Z39" i="2"/>
  <c r="AA39" i="2" s="1"/>
  <c r="Z132" i="2"/>
  <c r="AA132" i="2" s="1"/>
  <c r="Z136" i="2"/>
  <c r="AA136" i="2" s="1"/>
  <c r="Z82" i="2"/>
  <c r="AA82" i="2" s="1"/>
  <c r="Z53" i="2"/>
  <c r="AA53" i="2" s="1"/>
  <c r="Z4" i="2"/>
  <c r="AA4" i="2" s="1"/>
  <c r="Z114" i="2"/>
  <c r="AA114" i="2" s="1"/>
  <c r="Z113" i="2"/>
  <c r="AA113" i="2" s="1"/>
  <c r="Z88" i="2"/>
  <c r="AA88" i="2" s="1"/>
  <c r="Z146" i="2"/>
  <c r="AA146" i="2" s="1"/>
  <c r="Z150" i="2"/>
  <c r="AA150" i="2" s="1"/>
  <c r="Z59" i="2"/>
  <c r="AA59" i="2" s="1"/>
  <c r="Z85" i="2"/>
  <c r="AA85" i="2" s="1"/>
  <c r="Z174" i="2"/>
  <c r="AA174" i="2" s="1"/>
  <c r="Z71" i="2"/>
  <c r="AA71" i="2" s="1"/>
  <c r="Z115" i="2"/>
  <c r="AA115" i="2" s="1"/>
  <c r="Z108" i="2"/>
  <c r="AA108" i="2" s="1"/>
  <c r="Z156" i="2"/>
  <c r="AA156" i="2" s="1"/>
  <c r="Z168" i="2"/>
  <c r="AA168" i="2" s="1"/>
  <c r="Z109" i="2"/>
  <c r="AA109" i="2" s="1"/>
  <c r="Z133" i="2"/>
  <c r="AA133" i="2" s="1"/>
  <c r="Z83" i="2"/>
  <c r="AA83" i="2" s="1"/>
  <c r="Z12" i="2"/>
  <c r="AA12" i="2" s="1"/>
  <c r="Z56" i="2"/>
  <c r="AA56" i="2" s="1"/>
  <c r="Z92" i="2"/>
  <c r="AA92" i="2" s="1"/>
  <c r="Z101" i="2"/>
  <c r="AA101" i="2" s="1"/>
  <c r="Z164" i="2"/>
  <c r="AA164" i="2" s="1"/>
  <c r="Z121" i="2"/>
  <c r="AA121" i="2" s="1"/>
  <c r="Z75" i="2"/>
  <c r="AA75" i="2" s="1"/>
  <c r="Z55" i="2"/>
  <c r="AA55" i="2" s="1"/>
  <c r="Z143" i="2"/>
  <c r="AA143" i="2" s="1"/>
  <c r="Z87" i="2"/>
  <c r="AA87" i="2" s="1"/>
  <c r="Z157" i="2"/>
  <c r="AA157" i="2" s="1"/>
  <c r="Z80" i="2"/>
  <c r="AA80" i="2" s="1"/>
  <c r="Z89" i="2"/>
  <c r="AA89" i="2" s="1"/>
  <c r="Z2" i="2"/>
  <c r="AA2" i="2" s="1"/>
  <c r="Z177" i="2"/>
  <c r="AA177" i="2" s="1"/>
  <c r="Z65" i="2"/>
  <c r="AA65" i="2" s="1"/>
  <c r="Z68" i="2"/>
  <c r="AA68" i="2" s="1"/>
  <c r="Z144" i="2"/>
  <c r="AA144" i="2" s="1"/>
  <c r="Z77" i="2"/>
  <c r="AA77" i="2" s="1"/>
  <c r="Z104" i="2"/>
  <c r="AA104" i="2" s="1"/>
  <c r="Z61" i="2"/>
  <c r="AA61" i="2" s="1"/>
  <c r="Z47" i="2"/>
  <c r="AA47" i="2" s="1"/>
  <c r="Z162" i="2"/>
  <c r="AA162" i="2" s="1"/>
  <c r="AI25" i="2" l="1"/>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wine2" description="Connection to the 'wine2' query in the workbook." type="5" refreshedVersion="6" background="1">
    <dbPr connection="Provider=Microsoft.Mashup.OleDb.1;Data Source=$Workbook$;Location=wine2;Extended Properties=&quot;&quot;" command="SELECT * FROM [win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<sst xmlns="http://schemas.openxmlformats.org/spreadsheetml/2006/main" count="226" uniqueCount="46">
  <si>
    <t>Vendor</t>
  </si>
  <si>
    <t>C1</t>
  </si>
  <si>
    <t>C2</t>
  </si>
  <si>
    <t>C3</t>
  </si>
  <si>
    <t>C4</t>
  </si>
  <si>
    <t>C5</t>
  </si>
  <si>
    <t>C6</t>
  </si>
  <si>
    <t>C7</t>
  </si>
  <si>
    <t>C8</t>
  </si>
  <si>
    <t>C9</t>
  </si>
  <si>
    <t>C10</t>
  </si>
  <si>
    <t>C11</t>
  </si>
  <si>
    <t>C12</t>
  </si>
  <si>
    <t>C13</t>
  </si>
  <si>
    <t>V1</t>
  </si>
  <si>
    <t>V2</t>
  </si>
  <si>
    <t>V3</t>
  </si>
  <si>
    <t>?</t>
  </si>
  <si>
    <t>y</t>
  </si>
  <si>
    <t>b</t>
  </si>
  <si>
    <t>w13</t>
  </si>
  <si>
    <t>w12</t>
  </si>
  <si>
    <t>w11</t>
  </si>
  <si>
    <t>w10</t>
  </si>
  <si>
    <t>w9</t>
  </si>
  <si>
    <t>w8</t>
  </si>
  <si>
    <t>w7</t>
  </si>
  <si>
    <t>w6</t>
  </si>
  <si>
    <t>w5</t>
  </si>
  <si>
    <t>w4</t>
  </si>
  <si>
    <t>w3</t>
  </si>
  <si>
    <t>w2</t>
  </si>
  <si>
    <t>w1</t>
  </si>
  <si>
    <t>mean</t>
  </si>
  <si>
    <t>sample number</t>
  </si>
  <si>
    <t>cutoff</t>
  </si>
  <si>
    <t>Numerical Prediction</t>
  </si>
  <si>
    <t>Type classification</t>
  </si>
  <si>
    <t>Difference =</t>
  </si>
  <si>
    <t>Difference</t>
  </si>
  <si>
    <t>Obtained-by-LINEST</t>
  </si>
  <si>
    <t>Inter-group variance</t>
  </si>
  <si>
    <t>Within-group-variance</t>
  </si>
  <si>
    <t>Within-g-variances</t>
  </si>
  <si>
    <t>Inter/within variance</t>
  </si>
  <si>
    <t>Obtained-by-Solver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</si>
</sst>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304800</xdr:colOff>
      <xdr:row>1</xdr:row>
      <xdr:rowOff>28574</xdr:rowOff>
    </xdr:from>
    <xdr:to>
      <xdr:col>22</xdr:col>
      <xdr:colOff>6350</xdr:colOff>
      <xdr:row>12</xdr:row>
      <xdr:rowOff>95249</xdr:rowOff>
    </xdr:to>
    <xdr:sp macro="" textlink="">
      <xdr:nvSpPr>
        <xdr:cNvPr id="2" name="TextBox 1">
          <a:extLst>
            <a:ext uri="{FF2B5EF4-FFF2-40B4-BE49-F238E27FC236}">
              <a16:creationId xmlns:a16="http://schemas.microsoft.com/office/drawing/2014/main" id="{46B8E30C-AD81-4BAB-9675-8533168FC6DA}"/>
            </a:ext>
          </a:extLst>
        </xdr:cNvPr>
        <xdr:cNvSpPr txBox="1"/>
      </xdr:nvSpPr>
      <xdr:spPr>
        <a:xfrm>
          <a:off x="8890000" y="212724"/>
          <a:ext cx="4578350" cy="209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the famous Wine data,</a:t>
          </a:r>
          <a:r>
            <a:rPr lang="en-US" sz="1100" baseline="0"/>
            <a:t> downloaded from http://archive.ics.uci.edu/dataset/109/wine but slightly processed for the exercise.</a:t>
          </a:r>
        </a:p>
        <a:p>
          <a:endParaRPr lang="en-US" sz="1100"/>
        </a:p>
        <a:p>
          <a:r>
            <a:rPr lang="en-US" sz="1100"/>
            <a:t>Based</a:t>
          </a:r>
          <a:r>
            <a:rPr lang="en-US" sz="1100" baseline="0"/>
            <a:t> on 13 chemical concentrations (C1-C13) in each wine production, people can determine the producer (vendor) of the wine. In this assignment, there are 178 wines, their vendors and chemical concentrations are known. Your job is to use LDA method to obtain a model (note, please do use LINEST and Excel Solver), and then based on the model, determine the vendors of the three samples in rows 182-184.</a:t>
          </a:r>
          <a:endParaRPr lang="en-US" sz="1100"/>
        </a:p>
      </xdr:txBody>
    </xdr:sp>
    <xdr:clientData/>
  </xdr:twoCellAnchor>
  <xdr:twoCellAnchor>
    <xdr:from>
      <xdr:col>14</xdr:col>
      <xdr:colOff>336550</xdr:colOff>
      <xdr:row>13</xdr:row>
      <xdr:rowOff>120650</xdr:rowOff>
    </xdr:from>
    <xdr:to>
      <xdr:col>22</xdr:col>
      <xdr:colOff>6350</xdr:colOff>
      <xdr:row>26</xdr:row>
      <xdr:rowOff>69850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921750" y="2514600"/>
          <a:ext cx="4546600" cy="234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mn-lt"/>
              <a:ea typeface="+mn-ea"/>
              <a:cs typeface="+mn-cs"/>
            </a:rPr>
            <a:t>2. Sources:</a:t>
          </a:r>
        </a:p>
        <a:p>
          <a:r>
            <a:rPr lang="en-US" sz="1100">
              <a:solidFill>
                <a:schemeClr val="dk1"/>
              </a:solidFill>
              <a:latin typeface="+mn-lt"/>
              <a:ea typeface="+mn-ea"/>
              <a:cs typeface="+mn-cs"/>
            </a:rPr>
            <a:t>   (a) Forina, M. et al, PARVUS - An Extendible Package for Data</a:t>
          </a:r>
        </a:p>
        <a:p>
          <a:r>
            <a:rPr lang="en-US" sz="1100">
              <a:solidFill>
                <a:schemeClr val="dk1"/>
              </a:solidFill>
              <a:latin typeface="+mn-lt"/>
              <a:ea typeface="+mn-ea"/>
              <a:cs typeface="+mn-cs"/>
            </a:rPr>
            <a:t>       Exploration, Classification and Correlation. Institute of Pharmaceutical</a:t>
          </a:r>
        </a:p>
        <a:p>
          <a:r>
            <a:rPr lang="en-US" sz="1100">
              <a:solidFill>
                <a:schemeClr val="dk1"/>
              </a:solidFill>
              <a:latin typeface="+mn-lt"/>
              <a:ea typeface="+mn-ea"/>
              <a:cs typeface="+mn-cs"/>
            </a:rPr>
            <a:t>       and Food Analysis and Technologies, Via Brigata Salerno, </a:t>
          </a:r>
        </a:p>
        <a:p>
          <a:r>
            <a:rPr lang="en-US" sz="1100">
              <a:solidFill>
                <a:schemeClr val="dk1"/>
              </a:solidFill>
              <a:latin typeface="+mn-lt"/>
              <a:ea typeface="+mn-ea"/>
              <a:cs typeface="+mn-cs"/>
            </a:rPr>
            <a:t>       16147 Genoa, Italy.</a:t>
          </a:r>
        </a:p>
        <a:p>
          <a:endParaRPr lang="en-US" sz="1100">
            <a:solidFill>
              <a:schemeClr val="dk1"/>
            </a:solidFill>
            <a:latin typeface="+mn-lt"/>
            <a:ea typeface="+mn-ea"/>
            <a:cs typeface="+mn-cs"/>
          </a:endParaRPr>
        </a:p>
        <a:p>
          <a:r>
            <a:rPr lang="en-US" sz="1100">
              <a:solidFill>
                <a:schemeClr val="dk1"/>
              </a:solidFill>
              <a:latin typeface="+mn-lt"/>
              <a:ea typeface="+mn-ea"/>
              <a:cs typeface="+mn-cs"/>
            </a:rPr>
            <a:t>   (b) Stefan Aeberhard, email: stefan@coral.cs.jcu.edu.au</a:t>
          </a:r>
        </a:p>
        <a:p>
          <a:r>
            <a:rPr lang="en-US" sz="1100">
              <a:solidFill>
                <a:schemeClr val="dk1"/>
              </a:solidFill>
              <a:latin typeface="+mn-lt"/>
              <a:ea typeface="+mn-ea"/>
              <a:cs typeface="+mn-cs"/>
            </a:rPr>
            <a:t>   (c) July 1991</a:t>
          </a:r>
        </a:p>
        <a:p>
          <a:endParaRPr lang="en-US" sz="1100"/>
        </a:p>
        <a:p>
          <a:r>
            <a:rPr lang="en-US" sz="1100" b="0" i="0">
              <a:solidFill>
                <a:schemeClr val="dk1"/>
              </a:solidFill>
              <a:effectLst/>
              <a:latin typeface="+mn-lt"/>
              <a:ea typeface="+mn-ea"/>
              <a:cs typeface="+mn-cs"/>
            </a:rPr>
            <a:t>Reference:</a:t>
          </a:r>
          <a:endParaRPr lang="en-US">
            <a:effectLst/>
          </a:endParaRPr>
        </a:p>
        <a:p>
          <a:r>
            <a:rPr lang="en-US" sz="1100" b="0" i="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Aeberhard,Stefan and Forina,M.. (1991). Wine. UCI Machine Learning Repository. https://doi.org/10.24432/C5PC7J.</a:t>
          </a:r>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127000</xdr:rowOff>
    </xdr:from>
    <xdr:to>
      <xdr:col>8</xdr:col>
      <xdr:colOff>332724</xdr:colOff>
      <xdr:row>17</xdr:row>
      <xdr:rowOff>145702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495300"/>
          <a:ext cx="5209524" cy="2780952"/>
        </a:xfrm>
        <a:prstGeom prst="rect">
          <a:avLst/>
        </a:prstGeom>
      </xdr:spPr>
    </xdr:pic>
    <xdr:clientData/>
  </xdr:twoCellAnchor>
  <xdr:twoCellAnchor>
    <xdr:from>
      <xdr:col>0</xdr:col>
      <xdr:colOff>387350</xdr:colOff>
      <xdr:row>0</xdr:row>
      <xdr:rowOff>0</xdr:rowOff>
    </xdr:from>
    <xdr:to>
      <xdr:col>7</xdr:col>
      <xdr:colOff>603250</xdr:colOff>
      <xdr:row>2</xdr:row>
      <xdr:rowOff>95250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87350" y="0"/>
          <a:ext cx="4483100" cy="46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case your Excel version runs into the following error when using Solver,</a:t>
          </a:r>
          <a:r>
            <a:rPr lang="en-US" sz="1100" baseline="0"/>
            <a:t> read on please.</a:t>
          </a:r>
          <a:endParaRPr lang="en-US" sz="1100"/>
        </a:p>
      </xdr:txBody>
    </xdr:sp>
    <xdr:clientData/>
  </xdr:twoCellAnchor>
  <xdr:twoCellAnchor>
    <xdr:from>
      <xdr:col>9</xdr:col>
      <xdr:colOff>514350</xdr:colOff>
      <xdr:row>0</xdr:row>
      <xdr:rowOff>171450</xdr:rowOff>
    </xdr:from>
    <xdr:to>
      <xdr:col>18</xdr:col>
      <xdr:colOff>177800</xdr:colOff>
      <xdr:row>26</xdr:row>
      <xdr:rowOff>6350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6000750" y="171450"/>
          <a:ext cx="5149850" cy="462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Solution found at: https://answers.microsoft.com/en-us/office/forum/office_2016-excel/fine-not-found-solver-32dll/3c9022c9-ad94-45f7-a218-baafd70355ed?auth=1</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It works as far as I have experienced. </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We are aware of an issue with Solver, caused by the initialization of Power Query and Power Pivot. We are working on a fix for this issue urgently. In the meantime, you might be able to get unblocked with the following workaround:</a:t>
          </a:r>
          <a:endParaRPr lang="en-US">
            <a:effectLst/>
          </a:endParaRPr>
        </a:p>
        <a:p>
          <a:pPr fontAlgn="t"/>
          <a:r>
            <a:rPr lang="en-US" sz="1100" b="0" i="0">
              <a:solidFill>
                <a:schemeClr val="dk1"/>
              </a:solidFill>
              <a:effectLst/>
              <a:latin typeface="+mn-lt"/>
              <a:ea typeface="+mn-ea"/>
              <a:cs typeface="+mn-cs"/>
            </a:rPr>
            <a:t> </a:t>
          </a:r>
          <a:endParaRPr lang="en-US">
            <a:effectLst/>
          </a:endParaRPr>
        </a:p>
        <a:p>
          <a:pPr fontAlgn="t"/>
          <a:r>
            <a:rPr lang="en-US" sz="1100" b="0" i="0">
              <a:solidFill>
                <a:schemeClr val="dk1"/>
              </a:solidFill>
              <a:effectLst/>
              <a:latin typeface="+mn-lt"/>
              <a:ea typeface="+mn-ea"/>
              <a:cs typeface="+mn-cs"/>
            </a:rPr>
            <a:t>1)      Make sure Excel is not running</a:t>
          </a:r>
          <a:endParaRPr lang="en-US">
            <a:effectLst/>
          </a:endParaRPr>
        </a:p>
        <a:p>
          <a:pPr fontAlgn="t"/>
          <a:r>
            <a:rPr lang="en-US" sz="1100" b="0" i="0">
              <a:solidFill>
                <a:schemeClr val="dk1"/>
              </a:solidFill>
              <a:effectLst/>
              <a:latin typeface="+mn-lt"/>
              <a:ea typeface="+mn-ea"/>
              <a:cs typeface="+mn-cs"/>
            </a:rPr>
            <a:t>2)      Start Excel</a:t>
          </a:r>
          <a:endParaRPr lang="en-US">
            <a:effectLst/>
          </a:endParaRPr>
        </a:p>
        <a:p>
          <a:pPr fontAlgn="t"/>
          <a:r>
            <a:rPr lang="en-US" sz="1100" b="0" i="0">
              <a:solidFill>
                <a:schemeClr val="dk1"/>
              </a:solidFill>
              <a:effectLst/>
              <a:latin typeface="+mn-lt"/>
              <a:ea typeface="+mn-ea"/>
              <a:cs typeface="+mn-cs"/>
            </a:rPr>
            <a:t>3)      Open the “Blank workbook” template</a:t>
          </a:r>
          <a:endParaRPr lang="en-US">
            <a:effectLst/>
          </a:endParaRPr>
        </a:p>
        <a:p>
          <a:pPr fontAlgn="t"/>
          <a:r>
            <a:rPr lang="en-US" sz="1100" b="0" i="0">
              <a:solidFill>
                <a:schemeClr val="dk1"/>
              </a:solidFill>
              <a:effectLst/>
              <a:latin typeface="+mn-lt"/>
              <a:ea typeface="+mn-ea"/>
              <a:cs typeface="+mn-cs"/>
            </a:rPr>
            <a:t>4)      Launch Solver (click the Solver button in the Data tab in the Ribbon)</a:t>
          </a:r>
          <a:endParaRPr lang="en-US">
            <a:effectLst/>
          </a:endParaRPr>
        </a:p>
        <a:p>
          <a:pPr fontAlgn="t"/>
          <a:r>
            <a:rPr lang="en-US" sz="1100" b="0" i="0">
              <a:solidFill>
                <a:schemeClr val="dk1"/>
              </a:solidFill>
              <a:effectLst/>
              <a:latin typeface="+mn-lt"/>
              <a:ea typeface="+mn-ea"/>
              <a:cs typeface="+mn-cs"/>
            </a:rPr>
            <a:t>5)      'Set Objective:' will be the active cell by default</a:t>
          </a:r>
          <a:endParaRPr lang="en-US">
            <a:effectLst/>
          </a:endParaRPr>
        </a:p>
        <a:p>
          <a:pPr fontAlgn="t"/>
          <a:r>
            <a:rPr lang="en-US" sz="1100" b="0" i="0">
              <a:solidFill>
                <a:schemeClr val="dk1"/>
              </a:solidFill>
              <a:effectLst/>
              <a:latin typeface="+mn-lt"/>
              <a:ea typeface="+mn-ea"/>
              <a:cs typeface="+mn-cs"/>
            </a:rPr>
            <a:t>6)      Set the range in 'By Changing Variable Cells: to the same string as is in 'Set Objective:'</a:t>
          </a:r>
          <a:endParaRPr lang="en-US">
            <a:effectLst/>
          </a:endParaRPr>
        </a:p>
        <a:p>
          <a:pPr fontAlgn="t"/>
          <a:r>
            <a:rPr lang="en-US" sz="1100" b="0" i="0">
              <a:solidFill>
                <a:schemeClr val="dk1"/>
              </a:solidFill>
              <a:effectLst/>
              <a:latin typeface="+mn-lt"/>
              <a:ea typeface="+mn-ea"/>
              <a:cs typeface="+mn-cs"/>
            </a:rPr>
            <a:t>7)      Click the “Solve” button</a:t>
          </a:r>
          <a:endParaRPr lang="en-US">
            <a:effectLst/>
          </a:endParaRPr>
        </a:p>
        <a:p>
          <a:pPr fontAlgn="t"/>
          <a:r>
            <a:rPr lang="en-US" sz="1100" b="0" i="0">
              <a:solidFill>
                <a:schemeClr val="dk1"/>
              </a:solidFill>
              <a:effectLst/>
              <a:latin typeface="+mn-lt"/>
              <a:ea typeface="+mn-ea"/>
              <a:cs typeface="+mn-cs"/>
            </a:rPr>
            <a:t>8)      Close the Solver Results dialog</a:t>
          </a:r>
          <a:endParaRPr lang="en-US">
            <a:effectLst/>
          </a:endParaRPr>
        </a:p>
        <a:p>
          <a:pPr fontAlgn="t"/>
          <a:r>
            <a:rPr lang="en-US" sz="1100" b="0" i="0">
              <a:solidFill>
                <a:schemeClr val="dk1"/>
              </a:solidFill>
              <a:effectLst/>
              <a:latin typeface="+mn-lt"/>
              <a:ea typeface="+mn-ea"/>
              <a:cs typeface="+mn-cs"/>
            </a:rPr>
            <a:t>9)      Open any other worksheet or workbook (do not close empty workbook first)</a:t>
          </a:r>
          <a:endParaRPr lang="en-US">
            <a:effectLst/>
          </a:endParaRPr>
        </a:p>
        <a:p>
          <a:pPr fontAlgn="t"/>
          <a:r>
            <a:rPr lang="en-US" sz="1100" b="0" i="0">
              <a:solidFill>
                <a:schemeClr val="dk1"/>
              </a:solidFill>
              <a:effectLst/>
              <a:latin typeface="+mn-lt"/>
              <a:ea typeface="+mn-ea"/>
              <a:cs typeface="+mn-cs"/>
            </a:rPr>
            <a:t> </a:t>
          </a:r>
          <a:endParaRPr lang="en-US">
            <a:effectLst/>
          </a:endParaRPr>
        </a:p>
        <a:p>
          <a:pPr fontAlgn="t"/>
          <a:r>
            <a:rPr lang="en-US" sz="1100" b="0" i="0">
              <a:solidFill>
                <a:schemeClr val="dk1"/>
              </a:solidFill>
              <a:effectLst/>
              <a:latin typeface="+mn-lt"/>
              <a:ea typeface="+mn-ea"/>
              <a:cs typeface="+mn-cs"/>
            </a:rPr>
            <a:t>Hope this helps!</a:t>
          </a:r>
          <a:endParaRPr lang="en-US">
            <a:effectLst/>
          </a:endParaRPr>
        </a:p>
        <a:p>
          <a:pPr fontAlgn="t"/>
          <a:r>
            <a:rPr lang="en-US" sz="1100" b="0" i="0">
              <a:solidFill>
                <a:schemeClr val="dk1"/>
              </a:solidFill>
              <a:effectLst/>
              <a:latin typeface="+mn-lt"/>
              <a:ea typeface="+mn-ea"/>
              <a:cs typeface="+mn-cs"/>
            </a:rPr>
            <a:t> </a:t>
          </a:r>
          <a:endParaRPr lang="en-US">
            <a:effectLst/>
          </a:endParaRPr>
        </a:p>
        <a:p>
          <a:pPr fontAlgn="t"/>
          <a:r>
            <a:rPr lang="en-US" sz="1100" b="0" i="0">
              <a:solidFill>
                <a:schemeClr val="dk1"/>
              </a:solidFill>
              <a:effectLst/>
              <a:latin typeface="+mn-lt"/>
              <a:ea typeface="+mn-ea"/>
              <a:cs typeface="+mn-cs"/>
            </a:rPr>
            <a:t>Freya</a:t>
          </a:r>
          <a:endParaRPr lang="en-US">
            <a:effectLst/>
          </a:endParaRPr>
        </a:p>
        <a:p>
          <a:pPr fontAlgn="t"/>
          <a:r>
            <a:rPr lang="en-US" sz="1100" b="0" i="0">
              <a:solidFill>
                <a:schemeClr val="dk1"/>
              </a:solidFill>
              <a:effectLst/>
              <a:latin typeface="+mn-lt"/>
              <a:ea typeface="+mn-ea"/>
              <a:cs typeface="+mn-cs"/>
            </a:rPr>
            <a:t>Office Newsroom</a:t>
          </a:r>
          <a:endParaRPr lang="en-US">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84"/>
  <sheetViews>
    <sheetView tabSelected="1" topLeftCell="A154" zoomScale="85" zoomScaleNormal="85" workbookViewId="0">
      <selection activeCell="U182" sqref="U182"/>
    </sheetView>
  </sheetViews>
  <sheetFormatPr defaultRowHeight="15" x14ac:dyDescent="0.25"/>
  <cols>
    <col min="1" max="1" width="9.42578125" customWidth="1"/>
    <col min="25" max="25" width="20.28515625" customWidth="1"/>
    <col min="26" max="26" width="19" customWidth="1"/>
    <col min="27" max="27" width="13.140625" customWidth="1"/>
    <col min="28" max="28" width="20.7109375" customWidth="1"/>
    <col min="33" max="33" width="22.85546875" customWidth="1"/>
    <col min="34" max="34" width="15.5703125" customWidth="1"/>
    <col min="35" max="35" width="19.140625" customWidth="1"/>
    <col min="36" max="36" width="17.8554687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X1" t="s">
        <v>18</v>
      </c>
      <c r="Y1" t="s">
        <v>36</v>
      </c>
      <c r="Z1" t="s">
        <v>37</v>
      </c>
      <c r="AA1" t="s">
        <v>39</v>
      </c>
      <c r="AB1" t="s">
        <v>43</v>
      </c>
      <c r="AG1">
        <v>0</v>
      </c>
      <c r="AH1" t="s">
        <v>14</v>
      </c>
    </row>
    <row r="2" spans="1:36" x14ac:dyDescent="0.25">
      <c r="A2" t="s">
        <v>14</v>
      </c>
      <c r="B2">
        <v>14.23</v>
      </c>
      <c r="C2">
        <v>1.71</v>
      </c>
      <c r="D2">
        <v>2.4300000000000002</v>
      </c>
      <c r="E2">
        <v>15.6</v>
      </c>
      <c r="F2">
        <v>127</v>
      </c>
      <c r="G2">
        <v>2.8</v>
      </c>
      <c r="H2">
        <v>3.06</v>
      </c>
      <c r="I2">
        <v>0.28000000000000003</v>
      </c>
      <c r="J2">
        <v>2.29</v>
      </c>
      <c r="K2">
        <v>5.64</v>
      </c>
      <c r="L2">
        <v>1.04</v>
      </c>
      <c r="M2">
        <v>3.92</v>
      </c>
      <c r="N2">
        <v>1065</v>
      </c>
      <c r="X2">
        <f>IF(A2=$AH$1,$AG$1,IF(A2=$AH$2,$AG$2,$AG$3))</f>
        <v>0</v>
      </c>
      <c r="Y2" cm="1">
        <f t="array" ref="Y2">MMULT(B2:N2,AI$6:AI$18)+AI$5</f>
        <v>0.39658512357806242</v>
      </c>
      <c r="Z2" t="str">
        <f>IF(Y2&lt;$AI$21,AH$1,IF(Y2&lt;AI$22,AH$2,AH$3))</f>
        <v>V1</v>
      </c>
      <c r="AA2">
        <f>IF(Z2=A2,0,1)</f>
        <v>0</v>
      </c>
      <c r="AB2">
        <f>IF(X2=AG$1,(Y2-AG$21)^2,IF(X2=AG$2,(Y2-AG$22)^2,(Y2-AG$23)^2))</f>
        <v>5.0422775415607801E-2</v>
      </c>
      <c r="AG2">
        <v>1</v>
      </c>
      <c r="AH2" t="s">
        <v>15</v>
      </c>
    </row>
    <row r="3" spans="1:36" x14ac:dyDescent="0.25">
      <c r="A3" t="s">
        <v>14</v>
      </c>
      <c r="B3">
        <v>13.2</v>
      </c>
      <c r="C3">
        <v>1.78</v>
      </c>
      <c r="D3">
        <v>2.14</v>
      </c>
      <c r="E3">
        <v>11.2</v>
      </c>
      <c r="F3">
        <v>100</v>
      </c>
      <c r="G3">
        <v>2.65</v>
      </c>
      <c r="H3">
        <v>2.76</v>
      </c>
      <c r="I3">
        <v>0.26</v>
      </c>
      <c r="J3">
        <v>1.28</v>
      </c>
      <c r="K3">
        <v>4.38</v>
      </c>
      <c r="L3">
        <v>1.05</v>
      </c>
      <c r="M3">
        <v>3.4</v>
      </c>
      <c r="N3">
        <v>1050</v>
      </c>
      <c r="X3">
        <f t="shared" ref="X3:X66" si="0">IF(A3=$AH$1,$AG$1,IF(A3=$AH$2,$AG$2,$AG$3))</f>
        <v>0</v>
      </c>
      <c r="Y3" cm="1">
        <f t="array" ref="Y3">MMULT(B3:N3,AI$6:AI$18)+AI$5</f>
        <v>0.45975324792694749</v>
      </c>
      <c r="Z3" t="str">
        <f t="shared" ref="Z3:Z66" si="1">IF(Y3&lt;$AI$21,AH$1,IF(Y3&lt;AI$22,AH$2,AH$3))</f>
        <v>V1</v>
      </c>
      <c r="AA3">
        <f t="shared" ref="AA3:AA66" si="2">IF(Z3=A3,0,1)</f>
        <v>0</v>
      </c>
      <c r="AB3">
        <f t="shared" ref="AB3:AB66" si="3">IF(X3=AG$1,(Y3-AG$21)^2,IF(X3=AG$2,(Y3-AG$22)^2,(Y3-AG$23)^2))</f>
        <v>2.6044162192409244E-2</v>
      </c>
      <c r="AG3">
        <v>2</v>
      </c>
      <c r="AH3" t="s">
        <v>16</v>
      </c>
    </row>
    <row r="4" spans="1:36" x14ac:dyDescent="0.25">
      <c r="A4" t="s">
        <v>14</v>
      </c>
      <c r="B4">
        <v>13.16</v>
      </c>
      <c r="C4">
        <v>2.36</v>
      </c>
      <c r="D4">
        <v>2.67</v>
      </c>
      <c r="E4">
        <v>18.600000000000001</v>
      </c>
      <c r="F4">
        <v>101</v>
      </c>
      <c r="G4">
        <v>2.8</v>
      </c>
      <c r="H4">
        <v>3.24</v>
      </c>
      <c r="I4">
        <v>0.3</v>
      </c>
      <c r="J4">
        <v>2.81</v>
      </c>
      <c r="K4">
        <v>5.68</v>
      </c>
      <c r="L4">
        <v>1.03</v>
      </c>
      <c r="M4">
        <v>3.17</v>
      </c>
      <c r="N4">
        <v>1185</v>
      </c>
      <c r="X4">
        <f t="shared" si="0"/>
        <v>0</v>
      </c>
      <c r="Y4" cm="1">
        <f t="array" ref="Y4">MMULT(B4:N4,AI$6:AI$18)+AI$5</f>
        <v>0.61895706554027674</v>
      </c>
      <c r="Z4" t="str">
        <f t="shared" si="1"/>
        <v>V1</v>
      </c>
      <c r="AA4">
        <f t="shared" si="2"/>
        <v>0</v>
      </c>
      <c r="AB4">
        <f t="shared" si="3"/>
        <v>4.744644098472225E-6</v>
      </c>
      <c r="AI4" t="s">
        <v>45</v>
      </c>
      <c r="AJ4" t="s">
        <v>40</v>
      </c>
    </row>
    <row r="5" spans="1:36" x14ac:dyDescent="0.25">
      <c r="A5" t="s">
        <v>14</v>
      </c>
      <c r="B5">
        <v>14.37</v>
      </c>
      <c r="C5">
        <v>1.95</v>
      </c>
      <c r="D5">
        <v>2.5</v>
      </c>
      <c r="E5">
        <v>16.8</v>
      </c>
      <c r="F5">
        <v>113</v>
      </c>
      <c r="G5">
        <v>3.85</v>
      </c>
      <c r="H5">
        <v>3.49</v>
      </c>
      <c r="I5">
        <v>0.24</v>
      </c>
      <c r="J5">
        <v>2.1800000000000002</v>
      </c>
      <c r="K5">
        <v>7.8</v>
      </c>
      <c r="L5">
        <v>0.86</v>
      </c>
      <c r="M5">
        <v>3.45</v>
      </c>
      <c r="N5">
        <v>1480</v>
      </c>
      <c r="X5">
        <f t="shared" si="0"/>
        <v>0</v>
      </c>
      <c r="Y5" cm="1">
        <f t="array" ref="Y5">MMULT(B5:N5,AI$6:AI$18)+AI$5</f>
        <v>0.50375126228927947</v>
      </c>
      <c r="Z5" t="str">
        <f t="shared" si="1"/>
        <v>V1</v>
      </c>
      <c r="AA5">
        <f t="shared" si="2"/>
        <v>0</v>
      </c>
      <c r="AB5">
        <f t="shared" si="3"/>
        <v>1.3779009007824052E-2</v>
      </c>
      <c r="AG5" t="s">
        <v>19</v>
      </c>
      <c r="AH5">
        <v>14</v>
      </c>
      <c r="AI5">
        <v>2.7167764002298678</v>
      </c>
      <c r="AJ5">
        <v>3.4732853057976696</v>
      </c>
    </row>
    <row r="6" spans="1:36" x14ac:dyDescent="0.25">
      <c r="A6" t="s">
        <v>14</v>
      </c>
      <c r="B6">
        <v>13.24</v>
      </c>
      <c r="C6">
        <v>2.59</v>
      </c>
      <c r="D6">
        <v>2.87</v>
      </c>
      <c r="E6">
        <v>21</v>
      </c>
      <c r="F6">
        <v>118</v>
      </c>
      <c r="G6">
        <v>2.8</v>
      </c>
      <c r="H6">
        <v>2.69</v>
      </c>
      <c r="I6">
        <v>0.39</v>
      </c>
      <c r="J6">
        <v>1.82</v>
      </c>
      <c r="K6">
        <v>4.32</v>
      </c>
      <c r="L6">
        <v>1.04</v>
      </c>
      <c r="M6">
        <v>2.93</v>
      </c>
      <c r="N6">
        <v>735</v>
      </c>
      <c r="X6">
        <f t="shared" si="0"/>
        <v>0</v>
      </c>
      <c r="Y6" cm="1">
        <f t="array" ref="Y6">MMULT(B6:N6,AI$6:AI$18)+AI$5</f>
        <v>0.94954543008259362</v>
      </c>
      <c r="Z6" t="str">
        <f t="shared" si="1"/>
        <v>V2</v>
      </c>
      <c r="AA6">
        <f t="shared" si="2"/>
        <v>1</v>
      </c>
      <c r="AB6">
        <f t="shared" si="3"/>
        <v>0.10785322277746257</v>
      </c>
      <c r="AG6" t="s">
        <v>32</v>
      </c>
      <c r="AH6">
        <v>13</v>
      </c>
      <c r="AI6">
        <v>-6.3479035259175365E-2</v>
      </c>
      <c r="AJ6">
        <v>-0.11700384442474833</v>
      </c>
    </row>
    <row r="7" spans="1:36" x14ac:dyDescent="0.25">
      <c r="A7" t="s">
        <v>14</v>
      </c>
      <c r="B7">
        <v>14.2</v>
      </c>
      <c r="C7">
        <v>1.76</v>
      </c>
      <c r="D7">
        <v>2.4500000000000002</v>
      </c>
      <c r="E7">
        <v>15.2</v>
      </c>
      <c r="F7">
        <v>112</v>
      </c>
      <c r="G7">
        <v>3.27</v>
      </c>
      <c r="H7">
        <v>3.39</v>
      </c>
      <c r="I7">
        <v>0.34</v>
      </c>
      <c r="J7">
        <v>1.97</v>
      </c>
      <c r="K7">
        <v>6.75</v>
      </c>
      <c r="L7">
        <v>1.05</v>
      </c>
      <c r="M7">
        <v>2.85</v>
      </c>
      <c r="N7">
        <v>1450</v>
      </c>
      <c r="X7">
        <f t="shared" si="0"/>
        <v>0</v>
      </c>
      <c r="Y7" cm="1">
        <f t="array" ref="Y7">MMULT(B7:N7,AI$6:AI$18)+AI$5</f>
        <v>0.44059218080071316</v>
      </c>
      <c r="Z7" t="str">
        <f t="shared" si="1"/>
        <v>V1</v>
      </c>
      <c r="AA7">
        <f t="shared" si="2"/>
        <v>0</v>
      </c>
      <c r="AB7">
        <f t="shared" si="3"/>
        <v>3.2595812812399115E-2</v>
      </c>
      <c r="AG7" t="s">
        <v>31</v>
      </c>
      <c r="AH7">
        <v>12</v>
      </c>
      <c r="AI7">
        <v>3.2293021122129846E-2</v>
      </c>
      <c r="AJ7">
        <v>3.0170994744054859E-2</v>
      </c>
    </row>
    <row r="8" spans="1:36" x14ac:dyDescent="0.25">
      <c r="A8" t="s">
        <v>14</v>
      </c>
      <c r="B8">
        <v>14.39</v>
      </c>
      <c r="C8">
        <v>1.87</v>
      </c>
      <c r="D8">
        <v>2.4500000000000002</v>
      </c>
      <c r="E8">
        <v>14.6</v>
      </c>
      <c r="F8">
        <v>96</v>
      </c>
      <c r="G8">
        <v>2.5</v>
      </c>
      <c r="H8">
        <v>2.52</v>
      </c>
      <c r="I8">
        <v>0.3</v>
      </c>
      <c r="J8">
        <v>1.98</v>
      </c>
      <c r="K8">
        <v>5.25</v>
      </c>
      <c r="L8">
        <v>1.02</v>
      </c>
      <c r="M8">
        <v>3.58</v>
      </c>
      <c r="N8">
        <v>1290</v>
      </c>
      <c r="X8">
        <f t="shared" si="0"/>
        <v>0</v>
      </c>
      <c r="Y8" cm="1">
        <f t="array" ref="Y8">MMULT(B8:N8,AI$6:AI$18)+AI$5</f>
        <v>0.43957785966244733</v>
      </c>
      <c r="Z8" t="str">
        <f t="shared" si="1"/>
        <v>V1</v>
      </c>
      <c r="AA8">
        <f t="shared" si="2"/>
        <v>0</v>
      </c>
      <c r="AB8">
        <f t="shared" si="3"/>
        <v>3.2963099035587244E-2</v>
      </c>
      <c r="AG8" t="s">
        <v>30</v>
      </c>
      <c r="AH8">
        <v>11</v>
      </c>
      <c r="AI8">
        <v>-4.3382000644573017E-2</v>
      </c>
      <c r="AJ8">
        <v>-0.14855215717461578</v>
      </c>
    </row>
    <row r="9" spans="1:36" x14ac:dyDescent="0.25">
      <c r="A9" t="s">
        <v>14</v>
      </c>
      <c r="B9">
        <v>14.06</v>
      </c>
      <c r="C9">
        <v>2.15</v>
      </c>
      <c r="D9">
        <v>2.61</v>
      </c>
      <c r="E9">
        <v>17.600000000000001</v>
      </c>
      <c r="F9">
        <v>121</v>
      </c>
      <c r="G9">
        <v>2.6</v>
      </c>
      <c r="H9">
        <v>2.5099999999999998</v>
      </c>
      <c r="I9">
        <v>0.31</v>
      </c>
      <c r="J9">
        <v>1.25</v>
      </c>
      <c r="K9">
        <v>5.05</v>
      </c>
      <c r="L9">
        <v>1.06</v>
      </c>
      <c r="M9">
        <v>3.58</v>
      </c>
      <c r="N9">
        <v>1295</v>
      </c>
      <c r="X9">
        <f t="shared" si="0"/>
        <v>0</v>
      </c>
      <c r="Y9" cm="1">
        <f t="array" ref="Y9">MMULT(B9:N9,AI$6:AI$18)+AI$5</f>
        <v>0.5054316751678245</v>
      </c>
      <c r="Z9" t="str">
        <f t="shared" si="1"/>
        <v>V1</v>
      </c>
      <c r="AA9">
        <f t="shared" si="2"/>
        <v>0</v>
      </c>
      <c r="AB9">
        <f t="shared" si="3"/>
        <v>1.3387325545118936E-2</v>
      </c>
      <c r="AG9" t="s">
        <v>29</v>
      </c>
      <c r="AH9">
        <v>10</v>
      </c>
      <c r="AI9">
        <v>2.6144995843535475E-2</v>
      </c>
      <c r="AJ9">
        <v>3.9854336546277805E-2</v>
      </c>
    </row>
    <row r="10" spans="1:36" x14ac:dyDescent="0.25">
      <c r="A10" t="s">
        <v>14</v>
      </c>
      <c r="B10">
        <v>14.83</v>
      </c>
      <c r="C10">
        <v>1.64</v>
      </c>
      <c r="D10">
        <v>2.17</v>
      </c>
      <c r="E10">
        <v>14</v>
      </c>
      <c r="F10">
        <v>97</v>
      </c>
      <c r="G10">
        <v>2.8</v>
      </c>
      <c r="H10">
        <v>2.98</v>
      </c>
      <c r="I10">
        <v>0.28999999999999998</v>
      </c>
      <c r="J10">
        <v>1.98</v>
      </c>
      <c r="K10">
        <v>5.2</v>
      </c>
      <c r="L10">
        <v>1.08</v>
      </c>
      <c r="M10">
        <v>2.85</v>
      </c>
      <c r="N10">
        <v>1045</v>
      </c>
      <c r="X10">
        <f t="shared" si="0"/>
        <v>0</v>
      </c>
      <c r="Y10" cm="1">
        <f t="array" ref="Y10">MMULT(B10:N10,AI$6:AI$18)+AI$5</f>
        <v>0.54565020740888226</v>
      </c>
      <c r="Z10" t="str">
        <f t="shared" si="1"/>
        <v>V1</v>
      </c>
      <c r="AA10">
        <f t="shared" si="2"/>
        <v>0</v>
      </c>
      <c r="AB10">
        <f t="shared" si="3"/>
        <v>5.6979970804574747E-3</v>
      </c>
      <c r="AG10" t="s">
        <v>28</v>
      </c>
      <c r="AH10">
        <v>9</v>
      </c>
      <c r="AI10">
        <v>-3.892056746164939E-4</v>
      </c>
      <c r="AJ10">
        <v>-4.8976574100526428E-4</v>
      </c>
    </row>
    <row r="11" spans="1:36" x14ac:dyDescent="0.25">
      <c r="A11" t="s">
        <v>14</v>
      </c>
      <c r="B11">
        <v>13.86</v>
      </c>
      <c r="C11">
        <v>1.35</v>
      </c>
      <c r="D11">
        <v>2.27</v>
      </c>
      <c r="E11">
        <v>16</v>
      </c>
      <c r="F11">
        <v>98</v>
      </c>
      <c r="G11">
        <v>2.98</v>
      </c>
      <c r="H11">
        <v>3.15</v>
      </c>
      <c r="I11">
        <v>0.22</v>
      </c>
      <c r="J11">
        <v>1.85</v>
      </c>
      <c r="K11">
        <v>7.22</v>
      </c>
      <c r="L11">
        <v>1.01</v>
      </c>
      <c r="M11">
        <v>3.55</v>
      </c>
      <c r="N11">
        <v>1045</v>
      </c>
      <c r="X11">
        <f t="shared" si="0"/>
        <v>0</v>
      </c>
      <c r="Y11" cm="1">
        <f t="array" ref="Y11">MMULT(B11:N11,AI$6:AI$18)+AI$5</f>
        <v>0.63094818009822839</v>
      </c>
      <c r="Z11" t="str">
        <f t="shared" si="1"/>
        <v>V1</v>
      </c>
      <c r="AA11">
        <f t="shared" si="2"/>
        <v>0</v>
      </c>
      <c r="AB11">
        <f t="shared" si="3"/>
        <v>9.6292891811491997E-5</v>
      </c>
      <c r="AG11" t="s">
        <v>27</v>
      </c>
      <c r="AH11">
        <v>8</v>
      </c>
      <c r="AI11">
        <v>0.10962945799601871</v>
      </c>
      <c r="AJ11">
        <v>0.14432013215886266</v>
      </c>
    </row>
    <row r="12" spans="1:36" x14ac:dyDescent="0.25">
      <c r="A12" t="s">
        <v>14</v>
      </c>
      <c r="B12">
        <v>14.1</v>
      </c>
      <c r="C12">
        <v>2.16</v>
      </c>
      <c r="D12">
        <v>2.2999999999999998</v>
      </c>
      <c r="E12">
        <v>18</v>
      </c>
      <c r="F12">
        <v>105</v>
      </c>
      <c r="G12">
        <v>2.95</v>
      </c>
      <c r="H12">
        <v>3.32</v>
      </c>
      <c r="I12">
        <v>0.22</v>
      </c>
      <c r="J12">
        <v>2.38</v>
      </c>
      <c r="K12">
        <v>5.75</v>
      </c>
      <c r="L12">
        <v>1.25</v>
      </c>
      <c r="M12">
        <v>3.17</v>
      </c>
      <c r="N12">
        <v>1510</v>
      </c>
      <c r="X12">
        <f t="shared" si="0"/>
        <v>0</v>
      </c>
      <c r="Y12" cm="1">
        <f t="array" ref="Y12">MMULT(B12:N12,AI$6:AI$18)+AI$5</f>
        <v>0.38022707969345282</v>
      </c>
      <c r="Z12" t="str">
        <f t="shared" si="1"/>
        <v>V1</v>
      </c>
      <c r="AA12">
        <f t="shared" si="2"/>
        <v>0</v>
      </c>
      <c r="AB12">
        <f t="shared" si="3"/>
        <v>5.8036763835679336E-2</v>
      </c>
      <c r="AG12" t="s">
        <v>26</v>
      </c>
      <c r="AH12">
        <v>7</v>
      </c>
      <c r="AI12">
        <v>-0.30015229840699453</v>
      </c>
      <c r="AJ12">
        <v>-0.37239140563516032</v>
      </c>
    </row>
    <row r="13" spans="1:36" x14ac:dyDescent="0.25">
      <c r="A13" t="s">
        <v>14</v>
      </c>
      <c r="B13">
        <v>14.12</v>
      </c>
      <c r="C13">
        <v>1.48</v>
      </c>
      <c r="D13">
        <v>2.3199999999999998</v>
      </c>
      <c r="E13">
        <v>16.8</v>
      </c>
      <c r="F13">
        <v>95</v>
      </c>
      <c r="G13">
        <v>2.2000000000000002</v>
      </c>
      <c r="H13">
        <v>2.4300000000000002</v>
      </c>
      <c r="I13">
        <v>0.26</v>
      </c>
      <c r="J13">
        <v>1.57</v>
      </c>
      <c r="K13">
        <v>5</v>
      </c>
      <c r="L13">
        <v>1.17</v>
      </c>
      <c r="M13">
        <v>2.82</v>
      </c>
      <c r="N13">
        <v>1280</v>
      </c>
      <c r="X13">
        <f t="shared" si="0"/>
        <v>0</v>
      </c>
      <c r="Y13" cm="1">
        <f t="array" ref="Y13">MMULT(B13:N13,AI$6:AI$18)+AI$5</f>
        <v>0.62473018527570368</v>
      </c>
      <c r="Z13" t="str">
        <f t="shared" si="1"/>
        <v>V1</v>
      </c>
      <c r="AA13">
        <f t="shared" si="2"/>
        <v>0</v>
      </c>
      <c r="AB13">
        <f t="shared" si="3"/>
        <v>1.2923301252489307E-5</v>
      </c>
      <c r="AG13" t="s">
        <v>25</v>
      </c>
      <c r="AH13">
        <v>6</v>
      </c>
      <c r="AI13">
        <v>-0.28154638704209345</v>
      </c>
      <c r="AJ13">
        <v>-0.3034743119536697</v>
      </c>
    </row>
    <row r="14" spans="1:36" x14ac:dyDescent="0.25">
      <c r="A14" t="s">
        <v>14</v>
      </c>
      <c r="B14">
        <v>13.75</v>
      </c>
      <c r="C14">
        <v>1.73</v>
      </c>
      <c r="D14">
        <v>2.41</v>
      </c>
      <c r="E14">
        <v>16</v>
      </c>
      <c r="F14">
        <v>89</v>
      </c>
      <c r="G14">
        <v>2.6</v>
      </c>
      <c r="H14">
        <v>2.76</v>
      </c>
      <c r="I14">
        <v>0.28999999999999998</v>
      </c>
      <c r="J14">
        <v>1.81</v>
      </c>
      <c r="K14">
        <v>5.6</v>
      </c>
      <c r="L14">
        <v>1.1499999999999999</v>
      </c>
      <c r="M14">
        <v>2.9</v>
      </c>
      <c r="N14">
        <v>1320</v>
      </c>
      <c r="X14">
        <f t="shared" si="0"/>
        <v>0</v>
      </c>
      <c r="Y14" cm="1">
        <f t="array" ref="Y14">MMULT(B14:N14,AI$6:AI$18)+AI$5</f>
        <v>0.5832208640614458</v>
      </c>
      <c r="Z14" t="str">
        <f t="shared" si="1"/>
        <v>V1</v>
      </c>
      <c r="AA14">
        <f t="shared" si="2"/>
        <v>0</v>
      </c>
      <c r="AB14">
        <f t="shared" si="3"/>
        <v>1.4375033861883291E-3</v>
      </c>
      <c r="AG14" t="s">
        <v>24</v>
      </c>
      <c r="AH14">
        <v>5</v>
      </c>
      <c r="AI14">
        <v>2.09362651653901E-2</v>
      </c>
      <c r="AJ14">
        <v>3.9356528680239672E-2</v>
      </c>
    </row>
    <row r="15" spans="1:36" x14ac:dyDescent="0.25">
      <c r="A15" t="s">
        <v>14</v>
      </c>
      <c r="B15">
        <v>14.75</v>
      </c>
      <c r="C15">
        <v>1.73</v>
      </c>
      <c r="D15">
        <v>2.39</v>
      </c>
      <c r="E15">
        <v>11.4</v>
      </c>
      <c r="F15">
        <v>91</v>
      </c>
      <c r="G15">
        <v>3.1</v>
      </c>
      <c r="H15">
        <v>3.69</v>
      </c>
      <c r="I15">
        <v>0.43</v>
      </c>
      <c r="J15">
        <v>2.81</v>
      </c>
      <c r="K15">
        <v>5.4</v>
      </c>
      <c r="L15">
        <v>1.25</v>
      </c>
      <c r="M15">
        <v>2.73</v>
      </c>
      <c r="N15">
        <v>1150</v>
      </c>
      <c r="X15">
        <f t="shared" si="0"/>
        <v>0</v>
      </c>
      <c r="Y15" cm="1">
        <f t="array" ref="Y15">MMULT(B15:N15,AI$6:AI$18)+AI$5</f>
        <v>0.23935036368009444</v>
      </c>
      <c r="Z15" t="str">
        <f t="shared" si="1"/>
        <v>V1</v>
      </c>
      <c r="AA15">
        <f t="shared" si="2"/>
        <v>0</v>
      </c>
      <c r="AB15">
        <f>IF(X15=AG$1,(Y15-AG$21)^2,IF(X15=AG$2,(Y15-AG$22)^2,(Y15-AG$23)^2))</f>
        <v>0.14575972686302183</v>
      </c>
      <c r="AG15" t="s">
        <v>23</v>
      </c>
      <c r="AH15">
        <v>4</v>
      </c>
      <c r="AI15">
        <v>6.5558695489059779E-2</v>
      </c>
      <c r="AJ15">
        <v>7.5623866442470891E-2</v>
      </c>
    </row>
    <row r="16" spans="1:36" x14ac:dyDescent="0.25">
      <c r="A16" t="s">
        <v>14</v>
      </c>
      <c r="B16">
        <v>14.38</v>
      </c>
      <c r="C16">
        <v>1.87</v>
      </c>
      <c r="D16">
        <v>2.38</v>
      </c>
      <c r="E16">
        <v>12</v>
      </c>
      <c r="F16">
        <v>102</v>
      </c>
      <c r="G16">
        <v>3.3</v>
      </c>
      <c r="H16">
        <v>3.64</v>
      </c>
      <c r="I16">
        <v>0.28999999999999998</v>
      </c>
      <c r="J16">
        <v>2.96</v>
      </c>
      <c r="K16">
        <v>7.5</v>
      </c>
      <c r="L16">
        <v>1.2</v>
      </c>
      <c r="M16">
        <v>3</v>
      </c>
      <c r="N16">
        <v>1547</v>
      </c>
      <c r="X16">
        <f t="shared" si="0"/>
        <v>0</v>
      </c>
      <c r="Y16" cm="1">
        <f t="array" ref="Y16">MMULT(B16:N16,AI$6:AI$18)+AI$5</f>
        <v>0.26960442097365922</v>
      </c>
      <c r="Z16" t="str">
        <f t="shared" si="1"/>
        <v>V1</v>
      </c>
      <c r="AA16">
        <f t="shared" si="2"/>
        <v>0</v>
      </c>
      <c r="AB16">
        <f t="shared" si="3"/>
        <v>0.12357394902216035</v>
      </c>
      <c r="AG16" t="s">
        <v>22</v>
      </c>
      <c r="AH16">
        <v>3</v>
      </c>
      <c r="AI16">
        <v>-0.15989406359512986</v>
      </c>
      <c r="AJ16">
        <v>-0.14924505946500866</v>
      </c>
    </row>
    <row r="17" spans="1:36" x14ac:dyDescent="0.25">
      <c r="A17" t="s">
        <v>14</v>
      </c>
      <c r="B17">
        <v>13.63</v>
      </c>
      <c r="C17">
        <v>1.81</v>
      </c>
      <c r="D17">
        <v>2.7</v>
      </c>
      <c r="E17">
        <v>17.2</v>
      </c>
      <c r="F17">
        <v>112</v>
      </c>
      <c r="G17">
        <v>2.85</v>
      </c>
      <c r="H17">
        <v>2.91</v>
      </c>
      <c r="I17">
        <v>0.3</v>
      </c>
      <c r="J17">
        <v>1.46</v>
      </c>
      <c r="K17">
        <v>7.3</v>
      </c>
      <c r="L17">
        <v>1.28</v>
      </c>
      <c r="M17">
        <v>2.88</v>
      </c>
      <c r="N17">
        <v>1310</v>
      </c>
      <c r="X17">
        <f t="shared" si="0"/>
        <v>0</v>
      </c>
      <c r="Y17" cm="1">
        <f t="array" ref="Y17">MMULT(B17:N17,AI$6:AI$18)+AI$5</f>
        <v>0.67479259445849094</v>
      </c>
      <c r="Z17" t="str">
        <f t="shared" si="1"/>
        <v>V1</v>
      </c>
      <c r="AA17">
        <f t="shared" si="2"/>
        <v>0</v>
      </c>
      <c r="AB17">
        <f t="shared" si="3"/>
        <v>2.8791067577268381E-3</v>
      </c>
      <c r="AG17" t="s">
        <v>21</v>
      </c>
      <c r="AH17">
        <v>2</v>
      </c>
      <c r="AI17">
        <v>-0.20541342143676194</v>
      </c>
      <c r="AJ17">
        <v>-0.2700542000982612</v>
      </c>
    </row>
    <row r="18" spans="1:36" x14ac:dyDescent="0.25">
      <c r="A18" t="s">
        <v>14</v>
      </c>
      <c r="B18">
        <v>14.3</v>
      </c>
      <c r="C18">
        <v>1.92</v>
      </c>
      <c r="D18">
        <v>2.72</v>
      </c>
      <c r="E18">
        <v>20</v>
      </c>
      <c r="F18">
        <v>120</v>
      </c>
      <c r="G18">
        <v>2.8</v>
      </c>
      <c r="H18">
        <v>3.14</v>
      </c>
      <c r="I18">
        <v>0.33</v>
      </c>
      <c r="J18">
        <v>1.97</v>
      </c>
      <c r="K18">
        <v>6.2</v>
      </c>
      <c r="L18">
        <v>1.07</v>
      </c>
      <c r="M18">
        <v>2.65</v>
      </c>
      <c r="N18">
        <v>1280</v>
      </c>
      <c r="X18">
        <f t="shared" si="0"/>
        <v>0</v>
      </c>
      <c r="Y18" cm="1">
        <f t="array" ref="Y18">MMULT(B18:N18,AI$6:AI$18)+AI$5</f>
        <v>0.6550098572913492</v>
      </c>
      <c r="Z18" t="str">
        <f t="shared" si="1"/>
        <v>V1</v>
      </c>
      <c r="AA18">
        <f t="shared" si="2"/>
        <v>0</v>
      </c>
      <c r="AB18">
        <f t="shared" si="3"/>
        <v>1.1474865844133535E-3</v>
      </c>
      <c r="AG18" t="s">
        <v>20</v>
      </c>
      <c r="AH18">
        <v>1</v>
      </c>
      <c r="AI18">
        <v>-4.5161346146177424E-4</v>
      </c>
      <c r="AJ18">
        <v>-7.0113889971855478E-4</v>
      </c>
    </row>
    <row r="19" spans="1:36" x14ac:dyDescent="0.25">
      <c r="A19" t="s">
        <v>14</v>
      </c>
      <c r="B19">
        <v>13.83</v>
      </c>
      <c r="C19">
        <v>1.57</v>
      </c>
      <c r="D19">
        <v>2.62</v>
      </c>
      <c r="E19">
        <v>20</v>
      </c>
      <c r="F19">
        <v>115</v>
      </c>
      <c r="G19">
        <v>2.95</v>
      </c>
      <c r="H19">
        <v>3.4</v>
      </c>
      <c r="I19">
        <v>0.4</v>
      </c>
      <c r="J19">
        <v>1.72</v>
      </c>
      <c r="K19">
        <v>6.6</v>
      </c>
      <c r="L19">
        <v>1.1299999999999999</v>
      </c>
      <c r="M19">
        <v>2.57</v>
      </c>
      <c r="N19">
        <v>1130</v>
      </c>
      <c r="X19">
        <f t="shared" si="0"/>
        <v>0</v>
      </c>
      <c r="Y19" cm="1">
        <f t="array" ref="Y19">MMULT(B19:N19,AI$6:AI$18)+AI$5</f>
        <v>0.69409410995136955</v>
      </c>
      <c r="Z19" t="str">
        <f t="shared" si="1"/>
        <v>V1</v>
      </c>
      <c r="AA19">
        <f t="shared" si="2"/>
        <v>0</v>
      </c>
      <c r="AB19">
        <f t="shared" si="3"/>
        <v>5.3229900015004288E-3</v>
      </c>
    </row>
    <row r="20" spans="1:36" x14ac:dyDescent="0.25">
      <c r="A20" t="s">
        <v>14</v>
      </c>
      <c r="B20">
        <v>14.19</v>
      </c>
      <c r="C20">
        <v>1.59</v>
      </c>
      <c r="D20">
        <v>2.48</v>
      </c>
      <c r="E20">
        <v>16.5</v>
      </c>
      <c r="F20">
        <v>108</v>
      </c>
      <c r="G20">
        <v>3.3</v>
      </c>
      <c r="H20">
        <v>3.93</v>
      </c>
      <c r="I20">
        <v>0.32</v>
      </c>
      <c r="J20">
        <v>1.86</v>
      </c>
      <c r="K20">
        <v>8.6999999999999993</v>
      </c>
      <c r="L20">
        <v>1.23</v>
      </c>
      <c r="M20">
        <v>2.82</v>
      </c>
      <c r="N20">
        <v>1680</v>
      </c>
      <c r="X20">
        <f t="shared" si="0"/>
        <v>0</v>
      </c>
      <c r="Y20" cm="1">
        <f t="array" ref="Y20">MMULT(B20:N20,AI$6:AI$18)+AI$5</f>
        <v>0.31586542727445854</v>
      </c>
      <c r="Z20" t="str">
        <f t="shared" si="1"/>
        <v>V1</v>
      </c>
      <c r="AA20">
        <f t="shared" si="2"/>
        <v>0</v>
      </c>
      <c r="AB20">
        <f t="shared" si="3"/>
        <v>9.3189686608096234E-2</v>
      </c>
      <c r="AG20" t="s">
        <v>33</v>
      </c>
      <c r="AH20" t="s">
        <v>34</v>
      </c>
      <c r="AI20" t="s">
        <v>35</v>
      </c>
    </row>
    <row r="21" spans="1:36" x14ac:dyDescent="0.25">
      <c r="A21" t="s">
        <v>14</v>
      </c>
      <c r="B21">
        <v>13.64</v>
      </c>
      <c r="C21">
        <v>3.1</v>
      </c>
      <c r="D21">
        <v>2.56</v>
      </c>
      <c r="E21">
        <v>15.2</v>
      </c>
      <c r="F21">
        <v>116</v>
      </c>
      <c r="G21">
        <v>2.7</v>
      </c>
      <c r="H21">
        <v>3.03</v>
      </c>
      <c r="I21">
        <v>0.17</v>
      </c>
      <c r="J21">
        <v>1.66</v>
      </c>
      <c r="K21">
        <v>5.0999999999999996</v>
      </c>
      <c r="L21">
        <v>0.96</v>
      </c>
      <c r="M21">
        <v>3.36</v>
      </c>
      <c r="N21">
        <v>845</v>
      </c>
      <c r="X21">
        <f t="shared" si="0"/>
        <v>0</v>
      </c>
      <c r="Y21" cm="1">
        <f t="array" ref="Y21">MMULT(B21:N21,AI$6:AI$18)+AI$5</f>
        <v>0.67470684346304699</v>
      </c>
      <c r="Z21" t="str">
        <f t="shared" si="1"/>
        <v>V1</v>
      </c>
      <c r="AA21">
        <f t="shared" si="2"/>
        <v>0</v>
      </c>
      <c r="AB21">
        <f t="shared" si="3"/>
        <v>2.869911775723006E-3</v>
      </c>
      <c r="AG21">
        <f>AVERAGEIFS(Y$2:Y$179,X$2:X$179,AG1)</f>
        <v>0.62113528593740652</v>
      </c>
      <c r="AH21">
        <f>COUNTIF(X$2:X$179,AG1)</f>
        <v>59</v>
      </c>
      <c r="AI21">
        <f>(AG21*AH21+AG22*AH22)/(AH21+AH22)</f>
        <v>0.92428399328821531</v>
      </c>
    </row>
    <row r="22" spans="1:36" x14ac:dyDescent="0.25">
      <c r="A22" t="s">
        <v>14</v>
      </c>
      <c r="B22">
        <v>14.06</v>
      </c>
      <c r="C22">
        <v>1.63</v>
      </c>
      <c r="D22">
        <v>2.2799999999999998</v>
      </c>
      <c r="E22">
        <v>16</v>
      </c>
      <c r="F22">
        <v>126</v>
      </c>
      <c r="G22">
        <v>3</v>
      </c>
      <c r="H22">
        <v>3.17</v>
      </c>
      <c r="I22">
        <v>0.24</v>
      </c>
      <c r="J22">
        <v>2.1</v>
      </c>
      <c r="K22">
        <v>5.65</v>
      </c>
      <c r="L22">
        <v>1.0900000000000001</v>
      </c>
      <c r="M22">
        <v>3.71</v>
      </c>
      <c r="N22">
        <v>780</v>
      </c>
      <c r="X22">
        <f t="shared" si="0"/>
        <v>0</v>
      </c>
      <c r="Y22" cm="1">
        <f t="array" ref="Y22">MMULT(B22:N22,AI$6:AI$18)+AI$5</f>
        <v>0.58284826465922235</v>
      </c>
      <c r="Z22" t="str">
        <f t="shared" si="1"/>
        <v>V1</v>
      </c>
      <c r="AA22">
        <f t="shared" si="2"/>
        <v>0</v>
      </c>
      <c r="AB22">
        <f t="shared" si="3"/>
        <v>1.4658959983561278E-3</v>
      </c>
      <c r="AG22">
        <f t="shared" ref="AG22:AG23" si="4">AVERAGEIFS(Y$2:Y$179,X$2:X$179,AG2)</f>
        <v>1.1761962993966337</v>
      </c>
      <c r="AH22">
        <f t="shared" ref="AH22:AH23" si="5">COUNTIF(X$2:X$179,AG2)</f>
        <v>71</v>
      </c>
      <c r="AI22">
        <f>(AG22*AH22+AG23*AH23)/(AH22+AH23)</f>
        <v>1.5077143515718066</v>
      </c>
    </row>
    <row r="23" spans="1:36" x14ac:dyDescent="0.25">
      <c r="A23" t="s">
        <v>14</v>
      </c>
      <c r="B23">
        <v>12.93</v>
      </c>
      <c r="C23">
        <v>3.8</v>
      </c>
      <c r="D23">
        <v>2.65</v>
      </c>
      <c r="E23">
        <v>18.600000000000001</v>
      </c>
      <c r="F23">
        <v>102</v>
      </c>
      <c r="G23">
        <v>2.41</v>
      </c>
      <c r="H23">
        <v>2.41</v>
      </c>
      <c r="I23">
        <v>0.25</v>
      </c>
      <c r="J23">
        <v>1.98</v>
      </c>
      <c r="K23">
        <v>4.5</v>
      </c>
      <c r="L23">
        <v>1.03</v>
      </c>
      <c r="M23">
        <v>3.52</v>
      </c>
      <c r="N23">
        <v>770</v>
      </c>
      <c r="X23">
        <f t="shared" si="0"/>
        <v>0</v>
      </c>
      <c r="Y23" cm="1">
        <f t="array" ref="Y23">MMULT(B23:N23,AI$6:AI$18)+AI$5</f>
        <v>0.92177439505489711</v>
      </c>
      <c r="Z23" t="str">
        <f t="shared" si="1"/>
        <v>V1</v>
      </c>
      <c r="AA23">
        <f t="shared" si="2"/>
        <v>0</v>
      </c>
      <c r="AB23">
        <f t="shared" si="3"/>
        <v>9.0383873930958411E-2</v>
      </c>
      <c r="AG23">
        <f t="shared" si="4"/>
        <v>1.9980848037475825</v>
      </c>
      <c r="AH23">
        <f t="shared" si="5"/>
        <v>48</v>
      </c>
    </row>
    <row r="24" spans="1:36" x14ac:dyDescent="0.25">
      <c r="A24" t="s">
        <v>14</v>
      </c>
      <c r="B24">
        <v>13.71</v>
      </c>
      <c r="C24">
        <v>1.86</v>
      </c>
      <c r="D24">
        <v>2.36</v>
      </c>
      <c r="E24">
        <v>16.600000000000001</v>
      </c>
      <c r="F24">
        <v>101</v>
      </c>
      <c r="G24">
        <v>2.61</v>
      </c>
      <c r="H24">
        <v>2.88</v>
      </c>
      <c r="I24">
        <v>0.27</v>
      </c>
      <c r="J24">
        <v>1.69</v>
      </c>
      <c r="K24">
        <v>3.8</v>
      </c>
      <c r="L24">
        <v>1.1100000000000001</v>
      </c>
      <c r="M24">
        <v>4</v>
      </c>
      <c r="N24">
        <v>1035</v>
      </c>
      <c r="X24">
        <f t="shared" si="0"/>
        <v>0</v>
      </c>
      <c r="Y24" cm="1">
        <f t="array" ref="Y24">MMULT(B24:N24,AI$6:AI$18)+AI$5</f>
        <v>0.36248552595242289</v>
      </c>
      <c r="Z24" t="str">
        <f t="shared" si="1"/>
        <v>V1</v>
      </c>
      <c r="AA24">
        <f t="shared" si="2"/>
        <v>0</v>
      </c>
      <c r="AB24">
        <f t="shared" si="3"/>
        <v>6.6899698340289637E-2</v>
      </c>
    </row>
    <row r="25" spans="1:36" x14ac:dyDescent="0.25">
      <c r="A25" t="s">
        <v>14</v>
      </c>
      <c r="B25">
        <v>12.85</v>
      </c>
      <c r="C25">
        <v>1.6</v>
      </c>
      <c r="D25">
        <v>2.52</v>
      </c>
      <c r="E25">
        <v>17.8</v>
      </c>
      <c r="F25">
        <v>95</v>
      </c>
      <c r="G25">
        <v>2.48</v>
      </c>
      <c r="H25">
        <v>2.37</v>
      </c>
      <c r="I25">
        <v>0.26</v>
      </c>
      <c r="J25">
        <v>1.46</v>
      </c>
      <c r="K25">
        <v>3.93</v>
      </c>
      <c r="L25">
        <v>1.0900000000000001</v>
      </c>
      <c r="M25">
        <v>3.63</v>
      </c>
      <c r="N25">
        <v>1015</v>
      </c>
      <c r="X25">
        <f t="shared" si="0"/>
        <v>0</v>
      </c>
      <c r="Y25" cm="1">
        <f t="array" ref="Y25">MMULT(B25:N25,AI$6:AI$18)+AI$5</f>
        <v>0.66903113211715404</v>
      </c>
      <c r="Z25" t="str">
        <f t="shared" si="1"/>
        <v>V1</v>
      </c>
      <c r="AA25">
        <f t="shared" si="2"/>
        <v>0</v>
      </c>
      <c r="AB25">
        <f t="shared" si="3"/>
        <v>2.2940120812740346E-3</v>
      </c>
      <c r="AG25" s="2" t="s">
        <v>38</v>
      </c>
      <c r="AH25" s="2"/>
      <c r="AI25" s="1">
        <f>SUM(AA2:AA179)</f>
        <v>14</v>
      </c>
    </row>
    <row r="26" spans="1:36" x14ac:dyDescent="0.25">
      <c r="A26" t="s">
        <v>14</v>
      </c>
      <c r="B26">
        <v>13.5</v>
      </c>
      <c r="C26">
        <v>1.81</v>
      </c>
      <c r="D26">
        <v>2.61</v>
      </c>
      <c r="E26">
        <v>20</v>
      </c>
      <c r="F26">
        <v>96</v>
      </c>
      <c r="G26">
        <v>2.5299999999999998</v>
      </c>
      <c r="H26">
        <v>2.61</v>
      </c>
      <c r="I26">
        <v>0.28000000000000003</v>
      </c>
      <c r="J26">
        <v>1.66</v>
      </c>
      <c r="K26">
        <v>3.52</v>
      </c>
      <c r="L26">
        <v>1.1200000000000001</v>
      </c>
      <c r="M26">
        <v>3.82</v>
      </c>
      <c r="N26">
        <v>845</v>
      </c>
      <c r="X26">
        <f t="shared" si="0"/>
        <v>0</v>
      </c>
      <c r="Y26" cm="1">
        <f t="array" ref="Y26">MMULT(B26:N26,AI$6:AI$18)+AI$5</f>
        <v>0.62584779664899415</v>
      </c>
      <c r="Z26" t="str">
        <f t="shared" si="1"/>
        <v>V1</v>
      </c>
      <c r="AA26">
        <f t="shared" si="2"/>
        <v>0</v>
      </c>
      <c r="AB26">
        <f t="shared" si="3"/>
        <v>2.2207757206828105E-5</v>
      </c>
    </row>
    <row r="27" spans="1:36" x14ac:dyDescent="0.25">
      <c r="A27" t="s">
        <v>14</v>
      </c>
      <c r="B27">
        <v>13.05</v>
      </c>
      <c r="C27">
        <v>2.0499999999999998</v>
      </c>
      <c r="D27">
        <v>3.22</v>
      </c>
      <c r="E27">
        <v>25</v>
      </c>
      <c r="F27">
        <v>124</v>
      </c>
      <c r="G27">
        <v>2.63</v>
      </c>
      <c r="H27">
        <v>2.68</v>
      </c>
      <c r="I27">
        <v>0.47</v>
      </c>
      <c r="J27">
        <v>1.92</v>
      </c>
      <c r="K27">
        <v>3.58</v>
      </c>
      <c r="L27">
        <v>1.1299999999999999</v>
      </c>
      <c r="M27">
        <v>3.2</v>
      </c>
      <c r="N27">
        <v>830</v>
      </c>
      <c r="X27">
        <f t="shared" si="0"/>
        <v>0</v>
      </c>
      <c r="Y27" cm="1">
        <f t="array" ref="Y27">MMULT(B27:N27,AI$6:AI$18)+AI$5</f>
        <v>0.83389489214238699</v>
      </c>
      <c r="Z27" t="str">
        <f t="shared" si="1"/>
        <v>V1</v>
      </c>
      <c r="AA27">
        <f t="shared" si="2"/>
        <v>0</v>
      </c>
      <c r="AB27">
        <f t="shared" si="3"/>
        <v>4.5266650032498364E-2</v>
      </c>
      <c r="AG27" t="s">
        <v>41</v>
      </c>
      <c r="AH27">
        <f>(AG21-AVERAGE(AG21:AG23))^2+(AG22-AVERAGE(AG21:AG23))^2+(AG23-AVERAGE(AG21:AG23))^2</f>
        <v>0.95986113894809999</v>
      </c>
    </row>
    <row r="28" spans="1:36" x14ac:dyDescent="0.25">
      <c r="A28" t="s">
        <v>14</v>
      </c>
      <c r="B28">
        <v>13.39</v>
      </c>
      <c r="C28">
        <v>1.77</v>
      </c>
      <c r="D28">
        <v>2.62</v>
      </c>
      <c r="E28">
        <v>16.100000000000001</v>
      </c>
      <c r="F28">
        <v>93</v>
      </c>
      <c r="G28">
        <v>2.85</v>
      </c>
      <c r="H28">
        <v>2.94</v>
      </c>
      <c r="I28">
        <v>0.34</v>
      </c>
      <c r="J28">
        <v>1.45</v>
      </c>
      <c r="K28">
        <v>4.8</v>
      </c>
      <c r="L28">
        <v>0.92</v>
      </c>
      <c r="M28">
        <v>3.22</v>
      </c>
      <c r="N28">
        <v>1195</v>
      </c>
      <c r="X28">
        <f t="shared" si="0"/>
        <v>0</v>
      </c>
      <c r="Y28" cm="1">
        <f t="array" ref="Y28">MMULT(B28:N28,AI$6:AI$18)+AI$5</f>
        <v>0.52612613638285222</v>
      </c>
      <c r="Z28" t="str">
        <f t="shared" si="1"/>
        <v>V1</v>
      </c>
      <c r="AA28">
        <f t="shared" si="2"/>
        <v>0</v>
      </c>
      <c r="AB28">
        <f t="shared" si="3"/>
        <v>9.0267384990796659E-3</v>
      </c>
      <c r="AG28" t="s">
        <v>42</v>
      </c>
      <c r="AH28">
        <f>SUM(AB2:AB179)</f>
        <v>5.5525994178300246</v>
      </c>
    </row>
    <row r="29" spans="1:36" x14ac:dyDescent="0.25">
      <c r="A29" t="s">
        <v>14</v>
      </c>
      <c r="B29">
        <v>13.3</v>
      </c>
      <c r="C29">
        <v>1.72</v>
      </c>
      <c r="D29">
        <v>2.14</v>
      </c>
      <c r="E29">
        <v>17</v>
      </c>
      <c r="F29">
        <v>94</v>
      </c>
      <c r="G29">
        <v>2.4</v>
      </c>
      <c r="H29">
        <v>2.19</v>
      </c>
      <c r="I29">
        <v>0.27</v>
      </c>
      <c r="J29">
        <v>1.35</v>
      </c>
      <c r="K29">
        <v>3.95</v>
      </c>
      <c r="L29">
        <v>1.02</v>
      </c>
      <c r="M29">
        <v>2.77</v>
      </c>
      <c r="N29">
        <v>1285</v>
      </c>
      <c r="X29">
        <f t="shared" si="0"/>
        <v>0</v>
      </c>
      <c r="Y29" cm="1">
        <f t="array" ref="Y29">MMULT(B29:N29,AI$6:AI$18)+AI$5</f>
        <v>0.74766136826724661</v>
      </c>
      <c r="Z29" t="str">
        <f t="shared" si="1"/>
        <v>V1</v>
      </c>
      <c r="AA29">
        <f t="shared" si="2"/>
        <v>0</v>
      </c>
      <c r="AB29">
        <f t="shared" si="3"/>
        <v>1.600884950973747E-2</v>
      </c>
      <c r="AG29" t="s">
        <v>44</v>
      </c>
      <c r="AH29">
        <f>AH27/AH28</f>
        <v>0.17286698836330194</v>
      </c>
    </row>
    <row r="30" spans="1:36" x14ac:dyDescent="0.25">
      <c r="A30" t="s">
        <v>14</v>
      </c>
      <c r="B30">
        <v>13.87</v>
      </c>
      <c r="C30">
        <v>1.9</v>
      </c>
      <c r="D30">
        <v>2.8</v>
      </c>
      <c r="E30">
        <v>19.399999999999999</v>
      </c>
      <c r="F30">
        <v>107</v>
      </c>
      <c r="G30">
        <v>2.95</v>
      </c>
      <c r="H30">
        <v>2.97</v>
      </c>
      <c r="I30">
        <v>0.37</v>
      </c>
      <c r="J30">
        <v>1.76</v>
      </c>
      <c r="K30">
        <v>4.5</v>
      </c>
      <c r="L30">
        <v>1.25</v>
      </c>
      <c r="M30">
        <v>3.4</v>
      </c>
      <c r="N30">
        <v>915</v>
      </c>
      <c r="X30">
        <f t="shared" si="0"/>
        <v>0</v>
      </c>
      <c r="Y30" cm="1">
        <f t="array" ref="Y30">MMULT(B30:N30,AI$6:AI$18)+AI$5</f>
        <v>0.58992207008230713</v>
      </c>
      <c r="Z30" t="str">
        <f t="shared" si="1"/>
        <v>V1</v>
      </c>
      <c r="AA30">
        <f t="shared" si="2"/>
        <v>0</v>
      </c>
      <c r="AB30">
        <f t="shared" si="3"/>
        <v>9.7426484401702833E-4</v>
      </c>
    </row>
    <row r="31" spans="1:36" x14ac:dyDescent="0.25">
      <c r="A31" t="s">
        <v>14</v>
      </c>
      <c r="B31">
        <v>14.02</v>
      </c>
      <c r="C31">
        <v>1.68</v>
      </c>
      <c r="D31">
        <v>2.21</v>
      </c>
      <c r="E31">
        <v>16</v>
      </c>
      <c r="F31">
        <v>96</v>
      </c>
      <c r="G31">
        <v>2.65</v>
      </c>
      <c r="H31">
        <v>2.33</v>
      </c>
      <c r="I31">
        <v>0.26</v>
      </c>
      <c r="J31">
        <v>1.98</v>
      </c>
      <c r="K31">
        <v>4.7</v>
      </c>
      <c r="L31">
        <v>1.04</v>
      </c>
      <c r="M31">
        <v>3.59</v>
      </c>
      <c r="N31">
        <v>1035</v>
      </c>
      <c r="X31">
        <f t="shared" si="0"/>
        <v>0</v>
      </c>
      <c r="Y31" cm="1">
        <f t="array" ref="Y31">MMULT(B31:N31,AI$6:AI$18)+AI$5</f>
        <v>0.66253144857669977</v>
      </c>
      <c r="Z31" t="str">
        <f t="shared" si="1"/>
        <v>V1</v>
      </c>
      <c r="AA31">
        <f t="shared" si="2"/>
        <v>0</v>
      </c>
      <c r="AB31">
        <f t="shared" si="3"/>
        <v>1.7136422812588177E-3</v>
      </c>
    </row>
    <row r="32" spans="1:36" x14ac:dyDescent="0.25">
      <c r="A32" t="s">
        <v>14</v>
      </c>
      <c r="B32">
        <v>13.73</v>
      </c>
      <c r="C32">
        <v>1.5</v>
      </c>
      <c r="D32">
        <v>2.7</v>
      </c>
      <c r="E32">
        <v>22.5</v>
      </c>
      <c r="F32">
        <v>101</v>
      </c>
      <c r="G32">
        <v>3</v>
      </c>
      <c r="H32">
        <v>3.25</v>
      </c>
      <c r="I32">
        <v>0.28999999999999998</v>
      </c>
      <c r="J32">
        <v>2.38</v>
      </c>
      <c r="K32">
        <v>5.7</v>
      </c>
      <c r="L32">
        <v>1.19</v>
      </c>
      <c r="M32">
        <v>2.71</v>
      </c>
      <c r="N32">
        <v>1285</v>
      </c>
      <c r="X32">
        <f t="shared" si="0"/>
        <v>0</v>
      </c>
      <c r="Y32" cm="1">
        <f t="array" ref="Y32">MMULT(B32:N32,AI$6:AI$18)+AI$5</f>
        <v>0.6934602309616964</v>
      </c>
      <c r="Z32" t="str">
        <f t="shared" si="1"/>
        <v>V1</v>
      </c>
      <c r="AA32">
        <f t="shared" si="2"/>
        <v>0</v>
      </c>
      <c r="AB32">
        <f t="shared" si="3"/>
        <v>5.2308976727665534E-3</v>
      </c>
    </row>
    <row r="33" spans="1:28" x14ac:dyDescent="0.25">
      <c r="A33" t="s">
        <v>14</v>
      </c>
      <c r="B33">
        <v>13.58</v>
      </c>
      <c r="C33">
        <v>1.66</v>
      </c>
      <c r="D33">
        <v>2.36</v>
      </c>
      <c r="E33">
        <v>19.100000000000001</v>
      </c>
      <c r="F33">
        <v>106</v>
      </c>
      <c r="G33">
        <v>2.86</v>
      </c>
      <c r="H33">
        <v>3.19</v>
      </c>
      <c r="I33">
        <v>0.22</v>
      </c>
      <c r="J33">
        <v>1.95</v>
      </c>
      <c r="K33">
        <v>6.9</v>
      </c>
      <c r="L33">
        <v>1.0900000000000001</v>
      </c>
      <c r="M33">
        <v>2.88</v>
      </c>
      <c r="N33">
        <v>1515</v>
      </c>
      <c r="X33">
        <f t="shared" si="0"/>
        <v>0</v>
      </c>
      <c r="Y33" cm="1">
        <f t="array" ref="Y33">MMULT(B33:N33,AI$6:AI$18)+AI$5</f>
        <v>0.60129496563089857</v>
      </c>
      <c r="Z33" t="str">
        <f t="shared" si="1"/>
        <v>V1</v>
      </c>
      <c r="AA33">
        <f t="shared" si="2"/>
        <v>0</v>
      </c>
      <c r="AB33">
        <f t="shared" si="3"/>
        <v>3.9363830986483179E-4</v>
      </c>
    </row>
    <row r="34" spans="1:28" x14ac:dyDescent="0.25">
      <c r="A34" t="s">
        <v>14</v>
      </c>
      <c r="B34">
        <v>13.68</v>
      </c>
      <c r="C34">
        <v>1.83</v>
      </c>
      <c r="D34">
        <v>2.36</v>
      </c>
      <c r="E34">
        <v>17.2</v>
      </c>
      <c r="F34">
        <v>104</v>
      </c>
      <c r="G34">
        <v>2.42</v>
      </c>
      <c r="H34">
        <v>2.69</v>
      </c>
      <c r="I34">
        <v>0.42</v>
      </c>
      <c r="J34">
        <v>1.97</v>
      </c>
      <c r="K34">
        <v>3.84</v>
      </c>
      <c r="L34">
        <v>1.23</v>
      </c>
      <c r="M34">
        <v>2.87</v>
      </c>
      <c r="N34">
        <v>990</v>
      </c>
      <c r="X34">
        <f t="shared" si="0"/>
        <v>0</v>
      </c>
      <c r="Y34" cm="1">
        <f t="array" ref="Y34">MMULT(B34:N34,AI$6:AI$18)+AI$5</f>
        <v>0.61364485490435472</v>
      </c>
      <c r="Z34" t="str">
        <f t="shared" si="1"/>
        <v>V1</v>
      </c>
      <c r="AA34">
        <f t="shared" si="2"/>
        <v>0</v>
      </c>
      <c r="AB34">
        <f t="shared" si="3"/>
        <v>5.6106557060905502E-5</v>
      </c>
    </row>
    <row r="35" spans="1:28" x14ac:dyDescent="0.25">
      <c r="A35" t="s">
        <v>14</v>
      </c>
      <c r="B35">
        <v>13.76</v>
      </c>
      <c r="C35">
        <v>1.53</v>
      </c>
      <c r="D35">
        <v>2.7</v>
      </c>
      <c r="E35">
        <v>19.5</v>
      </c>
      <c r="F35">
        <v>132</v>
      </c>
      <c r="G35">
        <v>2.95</v>
      </c>
      <c r="H35">
        <v>2.74</v>
      </c>
      <c r="I35">
        <v>0.5</v>
      </c>
      <c r="J35">
        <v>1.35</v>
      </c>
      <c r="K35">
        <v>5.4</v>
      </c>
      <c r="L35">
        <v>1.25</v>
      </c>
      <c r="M35">
        <v>3</v>
      </c>
      <c r="N35">
        <v>1235</v>
      </c>
      <c r="X35">
        <f t="shared" si="0"/>
        <v>0</v>
      </c>
      <c r="Y35" cm="1">
        <f t="array" ref="Y35">MMULT(B35:N35,AI$6:AI$18)+AI$5</f>
        <v>0.60268092037644427</v>
      </c>
      <c r="Z35" t="str">
        <f t="shared" si="1"/>
        <v>V1</v>
      </c>
      <c r="AA35">
        <f t="shared" si="2"/>
        <v>0</v>
      </c>
      <c r="AB35">
        <f t="shared" si="3"/>
        <v>3.4056360825762954E-4</v>
      </c>
    </row>
    <row r="36" spans="1:28" x14ac:dyDescent="0.25">
      <c r="A36" t="s">
        <v>14</v>
      </c>
      <c r="B36">
        <v>13.51</v>
      </c>
      <c r="C36">
        <v>1.8</v>
      </c>
      <c r="D36">
        <v>2.65</v>
      </c>
      <c r="E36">
        <v>19</v>
      </c>
      <c r="F36">
        <v>110</v>
      </c>
      <c r="G36">
        <v>2.35</v>
      </c>
      <c r="H36">
        <v>2.5299999999999998</v>
      </c>
      <c r="I36">
        <v>0.28999999999999998</v>
      </c>
      <c r="J36">
        <v>1.54</v>
      </c>
      <c r="K36">
        <v>4.2</v>
      </c>
      <c r="L36">
        <v>1.1000000000000001</v>
      </c>
      <c r="M36">
        <v>2.87</v>
      </c>
      <c r="N36">
        <v>1095</v>
      </c>
      <c r="X36">
        <f t="shared" si="0"/>
        <v>0</v>
      </c>
      <c r="Y36" cm="1">
        <f t="array" ref="Y36">MMULT(B36:N36,AI$6:AI$18)+AI$5</f>
        <v>0.7205291657181836</v>
      </c>
      <c r="Z36" t="str">
        <f t="shared" si="1"/>
        <v>V1</v>
      </c>
      <c r="AA36">
        <f t="shared" si="2"/>
        <v>0</v>
      </c>
      <c r="AB36">
        <f t="shared" si="3"/>
        <v>9.879143337875566E-3</v>
      </c>
    </row>
    <row r="37" spans="1:28" x14ac:dyDescent="0.25">
      <c r="A37" t="s">
        <v>14</v>
      </c>
      <c r="B37">
        <v>13.48</v>
      </c>
      <c r="C37">
        <v>1.81</v>
      </c>
      <c r="D37">
        <v>2.41</v>
      </c>
      <c r="E37">
        <v>20.5</v>
      </c>
      <c r="F37">
        <v>100</v>
      </c>
      <c r="G37">
        <v>2.7</v>
      </c>
      <c r="H37">
        <v>2.98</v>
      </c>
      <c r="I37">
        <v>0.26</v>
      </c>
      <c r="J37">
        <v>1.86</v>
      </c>
      <c r="K37">
        <v>5.0999999999999996</v>
      </c>
      <c r="L37">
        <v>1.04</v>
      </c>
      <c r="M37">
        <v>3.47</v>
      </c>
      <c r="N37">
        <v>920</v>
      </c>
      <c r="X37">
        <f t="shared" si="0"/>
        <v>0</v>
      </c>
      <c r="Y37" cm="1">
        <f t="array" ref="Y37">MMULT(B37:N37,AI$6:AI$18)+AI$5</f>
        <v>0.71910624278260737</v>
      </c>
      <c r="Z37" t="str">
        <f t="shared" si="1"/>
        <v>V1</v>
      </c>
      <c r="AA37">
        <f t="shared" si="2"/>
        <v>0</v>
      </c>
      <c r="AB37">
        <f t="shared" si="3"/>
        <v>9.5983083851642077E-3</v>
      </c>
    </row>
    <row r="38" spans="1:28" x14ac:dyDescent="0.25">
      <c r="A38" t="s">
        <v>14</v>
      </c>
      <c r="B38">
        <v>13.28</v>
      </c>
      <c r="C38">
        <v>1.64</v>
      </c>
      <c r="D38">
        <v>2.84</v>
      </c>
      <c r="E38">
        <v>15.5</v>
      </c>
      <c r="F38">
        <v>110</v>
      </c>
      <c r="G38">
        <v>2.6</v>
      </c>
      <c r="H38">
        <v>2.68</v>
      </c>
      <c r="I38">
        <v>0.34</v>
      </c>
      <c r="J38">
        <v>1.36</v>
      </c>
      <c r="K38">
        <v>4.5999999999999996</v>
      </c>
      <c r="L38">
        <v>1.0900000000000001</v>
      </c>
      <c r="M38">
        <v>2.78</v>
      </c>
      <c r="N38">
        <v>880</v>
      </c>
      <c r="X38">
        <f t="shared" si="0"/>
        <v>0</v>
      </c>
      <c r="Y38" cm="1">
        <f t="array" ref="Y38">MMULT(B38:N38,AI$6:AI$18)+AI$5</f>
        <v>0.73815758850465585</v>
      </c>
      <c r="Z38" t="str">
        <f t="shared" si="1"/>
        <v>V1</v>
      </c>
      <c r="AA38">
        <f t="shared" si="2"/>
        <v>0</v>
      </c>
      <c r="AB38">
        <f t="shared" si="3"/>
        <v>1.3694219298140848E-2</v>
      </c>
    </row>
    <row r="39" spans="1:28" x14ac:dyDescent="0.25">
      <c r="A39" t="s">
        <v>14</v>
      </c>
      <c r="B39">
        <v>13.05</v>
      </c>
      <c r="C39">
        <v>1.65</v>
      </c>
      <c r="D39">
        <v>2.5499999999999998</v>
      </c>
      <c r="E39">
        <v>18</v>
      </c>
      <c r="F39">
        <v>98</v>
      </c>
      <c r="G39">
        <v>2.4500000000000002</v>
      </c>
      <c r="H39">
        <v>2.4300000000000002</v>
      </c>
      <c r="I39">
        <v>0.28999999999999998</v>
      </c>
      <c r="J39">
        <v>1.44</v>
      </c>
      <c r="K39">
        <v>4.25</v>
      </c>
      <c r="L39">
        <v>1.1200000000000001</v>
      </c>
      <c r="M39">
        <v>2.5099999999999998</v>
      </c>
      <c r="N39">
        <v>1105</v>
      </c>
      <c r="X39">
        <f t="shared" si="0"/>
        <v>0</v>
      </c>
      <c r="Y39" cm="1">
        <f t="array" ref="Y39">MMULT(B39:N39,AI$6:AI$18)+AI$5</f>
        <v>0.83614654081433382</v>
      </c>
      <c r="Z39" t="str">
        <f t="shared" si="1"/>
        <v>V1</v>
      </c>
      <c r="AA39">
        <f t="shared" si="2"/>
        <v>0</v>
      </c>
      <c r="AB39">
        <f t="shared" si="3"/>
        <v>4.6229839723750991E-2</v>
      </c>
    </row>
    <row r="40" spans="1:28" x14ac:dyDescent="0.25">
      <c r="A40" t="s">
        <v>14</v>
      </c>
      <c r="B40">
        <v>13.07</v>
      </c>
      <c r="C40">
        <v>1.5</v>
      </c>
      <c r="D40">
        <v>2.1</v>
      </c>
      <c r="E40">
        <v>15.5</v>
      </c>
      <c r="F40">
        <v>98</v>
      </c>
      <c r="G40">
        <v>2.4</v>
      </c>
      <c r="H40">
        <v>2.64</v>
      </c>
      <c r="I40">
        <v>0.28000000000000003</v>
      </c>
      <c r="J40">
        <v>1.37</v>
      </c>
      <c r="K40">
        <v>3.7</v>
      </c>
      <c r="L40">
        <v>1.18</v>
      </c>
      <c r="M40">
        <v>2.69</v>
      </c>
      <c r="N40">
        <v>1020</v>
      </c>
      <c r="X40">
        <f t="shared" si="0"/>
        <v>0</v>
      </c>
      <c r="Y40" cm="1">
        <f t="array" ref="Y40">MMULT(B40:N40,AI$6:AI$18)+AI$5</f>
        <v>0.6727906893965665</v>
      </c>
      <c r="Z40" t="str">
        <f t="shared" si="1"/>
        <v>V1</v>
      </c>
      <c r="AA40">
        <f t="shared" si="2"/>
        <v>0</v>
      </c>
      <c r="AB40">
        <f t="shared" si="3"/>
        <v>2.6682807065285963E-3</v>
      </c>
    </row>
    <row r="41" spans="1:28" x14ac:dyDescent="0.25">
      <c r="A41" t="s">
        <v>14</v>
      </c>
      <c r="B41">
        <v>14.22</v>
      </c>
      <c r="C41">
        <v>3.99</v>
      </c>
      <c r="D41">
        <v>2.5099999999999998</v>
      </c>
      <c r="E41">
        <v>13.2</v>
      </c>
      <c r="F41">
        <v>128</v>
      </c>
      <c r="G41">
        <v>3</v>
      </c>
      <c r="H41">
        <v>3.04</v>
      </c>
      <c r="I41">
        <v>0.2</v>
      </c>
      <c r="J41">
        <v>2.08</v>
      </c>
      <c r="K41">
        <v>5.0999999999999996</v>
      </c>
      <c r="L41">
        <v>0.89</v>
      </c>
      <c r="M41">
        <v>3.53</v>
      </c>
      <c r="N41">
        <v>760</v>
      </c>
      <c r="X41">
        <f t="shared" si="0"/>
        <v>0</v>
      </c>
      <c r="Y41" cm="1">
        <f t="array" ref="Y41">MMULT(B41:N41,AI$6:AI$18)+AI$5</f>
        <v>0.65673203326577756</v>
      </c>
      <c r="Z41" t="str">
        <f t="shared" si="1"/>
        <v>V1</v>
      </c>
      <c r="AA41">
        <f t="shared" si="2"/>
        <v>0</v>
      </c>
      <c r="AB41">
        <f t="shared" si="3"/>
        <v>1.2671284203598905E-3</v>
      </c>
    </row>
    <row r="42" spans="1:28" x14ac:dyDescent="0.25">
      <c r="A42" t="s">
        <v>14</v>
      </c>
      <c r="B42">
        <v>13.56</v>
      </c>
      <c r="C42">
        <v>1.71</v>
      </c>
      <c r="D42">
        <v>2.31</v>
      </c>
      <c r="E42">
        <v>16.2</v>
      </c>
      <c r="F42">
        <v>117</v>
      </c>
      <c r="G42">
        <v>3.15</v>
      </c>
      <c r="H42">
        <v>3.29</v>
      </c>
      <c r="I42">
        <v>0.34</v>
      </c>
      <c r="J42">
        <v>2.34</v>
      </c>
      <c r="K42">
        <v>6.13</v>
      </c>
      <c r="L42">
        <v>0.95</v>
      </c>
      <c r="M42">
        <v>3.38</v>
      </c>
      <c r="N42">
        <v>795</v>
      </c>
      <c r="X42">
        <f t="shared" si="0"/>
        <v>0</v>
      </c>
      <c r="Y42" cm="1">
        <f t="array" ref="Y42">MMULT(B42:N42,AI$6:AI$18)+AI$5</f>
        <v>0.69676339191581826</v>
      </c>
      <c r="Z42" t="str">
        <f t="shared" si="1"/>
        <v>V1</v>
      </c>
      <c r="AA42">
        <f t="shared" si="2"/>
        <v>0</v>
      </c>
      <c r="AB42">
        <f t="shared" si="3"/>
        <v>5.7196104138818775E-3</v>
      </c>
    </row>
    <row r="43" spans="1:28" x14ac:dyDescent="0.25">
      <c r="A43" t="s">
        <v>14</v>
      </c>
      <c r="B43">
        <v>13.41</v>
      </c>
      <c r="C43">
        <v>3.84</v>
      </c>
      <c r="D43">
        <v>2.12</v>
      </c>
      <c r="E43">
        <v>18.8</v>
      </c>
      <c r="F43">
        <v>90</v>
      </c>
      <c r="G43">
        <v>2.4500000000000002</v>
      </c>
      <c r="H43">
        <v>2.68</v>
      </c>
      <c r="I43">
        <v>0.27</v>
      </c>
      <c r="J43">
        <v>1.48</v>
      </c>
      <c r="K43">
        <v>4.28</v>
      </c>
      <c r="L43">
        <v>0.91</v>
      </c>
      <c r="M43">
        <v>3</v>
      </c>
      <c r="N43">
        <v>1035</v>
      </c>
      <c r="X43">
        <f t="shared" si="0"/>
        <v>0</v>
      </c>
      <c r="Y43" cm="1">
        <f t="array" ref="Y43">MMULT(B43:N43,AI$6:AI$18)+AI$5</f>
        <v>0.82463489049109073</v>
      </c>
      <c r="Z43" t="str">
        <f t="shared" si="1"/>
        <v>V1</v>
      </c>
      <c r="AA43">
        <f t="shared" si="2"/>
        <v>0</v>
      </c>
      <c r="AB43">
        <f t="shared" si="3"/>
        <v>4.1412089053505852E-2</v>
      </c>
    </row>
    <row r="44" spans="1:28" x14ac:dyDescent="0.25">
      <c r="A44" t="s">
        <v>14</v>
      </c>
      <c r="B44">
        <v>13.88</v>
      </c>
      <c r="C44">
        <v>1.89</v>
      </c>
      <c r="D44">
        <v>2.59</v>
      </c>
      <c r="E44">
        <v>15</v>
      </c>
      <c r="F44">
        <v>101</v>
      </c>
      <c r="G44">
        <v>3.25</v>
      </c>
      <c r="H44">
        <v>3.56</v>
      </c>
      <c r="I44">
        <v>0.17</v>
      </c>
      <c r="J44">
        <v>1.7</v>
      </c>
      <c r="K44">
        <v>5.43</v>
      </c>
      <c r="L44">
        <v>0.88</v>
      </c>
      <c r="M44">
        <v>3.56</v>
      </c>
      <c r="N44">
        <v>1095</v>
      </c>
      <c r="X44">
        <f t="shared" si="0"/>
        <v>0</v>
      </c>
      <c r="Y44" cm="1">
        <f t="array" ref="Y44">MMULT(B44:N44,AI$6:AI$18)+AI$5</f>
        <v>0.40219772466919368</v>
      </c>
      <c r="Z44" t="str">
        <f t="shared" si="1"/>
        <v>V1</v>
      </c>
      <c r="AA44">
        <f t="shared" si="2"/>
        <v>0</v>
      </c>
      <c r="AB44">
        <f t="shared" si="3"/>
        <v>4.7933655734072454E-2</v>
      </c>
    </row>
    <row r="45" spans="1:28" x14ac:dyDescent="0.25">
      <c r="A45" t="s">
        <v>14</v>
      </c>
      <c r="B45">
        <v>13.24</v>
      </c>
      <c r="C45">
        <v>3.98</v>
      </c>
      <c r="D45">
        <v>2.29</v>
      </c>
      <c r="E45">
        <v>17.5</v>
      </c>
      <c r="F45">
        <v>103</v>
      </c>
      <c r="G45">
        <v>2.64</v>
      </c>
      <c r="H45">
        <v>2.63</v>
      </c>
      <c r="I45">
        <v>0.32</v>
      </c>
      <c r="J45">
        <v>1.66</v>
      </c>
      <c r="K45">
        <v>4.3600000000000003</v>
      </c>
      <c r="L45">
        <v>0.82</v>
      </c>
      <c r="M45">
        <v>3</v>
      </c>
      <c r="N45">
        <v>680</v>
      </c>
      <c r="X45">
        <f t="shared" si="0"/>
        <v>0</v>
      </c>
      <c r="Y45" cm="1">
        <f t="array" ref="Y45">MMULT(B45:N45,AI$6:AI$18)+AI$5</f>
        <v>0.99901060146493581</v>
      </c>
      <c r="Z45" t="str">
        <f t="shared" si="1"/>
        <v>V2</v>
      </c>
      <c r="AA45">
        <f t="shared" si="2"/>
        <v>1</v>
      </c>
      <c r="AB45">
        <f t="shared" si="3"/>
        <v>0.14278975408502981</v>
      </c>
    </row>
    <row r="46" spans="1:28" x14ac:dyDescent="0.25">
      <c r="A46" t="s">
        <v>14</v>
      </c>
      <c r="B46">
        <v>13.05</v>
      </c>
      <c r="C46">
        <v>1.77</v>
      </c>
      <c r="D46">
        <v>2.1</v>
      </c>
      <c r="E46">
        <v>17</v>
      </c>
      <c r="F46">
        <v>107</v>
      </c>
      <c r="G46">
        <v>3</v>
      </c>
      <c r="H46">
        <v>3</v>
      </c>
      <c r="I46">
        <v>0.28000000000000003</v>
      </c>
      <c r="J46">
        <v>2.0299999999999998</v>
      </c>
      <c r="K46">
        <v>5.04</v>
      </c>
      <c r="L46">
        <v>0.88</v>
      </c>
      <c r="M46">
        <v>3.35</v>
      </c>
      <c r="N46">
        <v>885</v>
      </c>
      <c r="X46">
        <f t="shared" si="0"/>
        <v>0</v>
      </c>
      <c r="Y46" cm="1">
        <f t="array" ref="Y46">MMULT(B46:N46,AI$6:AI$18)+AI$5</f>
        <v>0.75124664106168648</v>
      </c>
      <c r="Z46" t="str">
        <f t="shared" si="1"/>
        <v>V1</v>
      </c>
      <c r="AA46">
        <f t="shared" si="2"/>
        <v>0</v>
      </c>
      <c r="AB46">
        <f t="shared" si="3"/>
        <v>1.6928964732276494E-2</v>
      </c>
    </row>
    <row r="47" spans="1:28" x14ac:dyDescent="0.25">
      <c r="A47" t="s">
        <v>14</v>
      </c>
      <c r="B47">
        <v>14.21</v>
      </c>
      <c r="C47">
        <v>4.04</v>
      </c>
      <c r="D47">
        <v>2.44</v>
      </c>
      <c r="E47">
        <v>18.899999999999999</v>
      </c>
      <c r="F47">
        <v>111</v>
      </c>
      <c r="G47">
        <v>2.85</v>
      </c>
      <c r="H47">
        <v>2.65</v>
      </c>
      <c r="I47">
        <v>0.3</v>
      </c>
      <c r="J47">
        <v>1.25</v>
      </c>
      <c r="K47">
        <v>5.24</v>
      </c>
      <c r="L47">
        <v>0.87</v>
      </c>
      <c r="M47">
        <v>3.33</v>
      </c>
      <c r="N47">
        <v>1080</v>
      </c>
      <c r="X47">
        <f t="shared" si="0"/>
        <v>0</v>
      </c>
      <c r="Y47" cm="1">
        <f t="array" ref="Y47">MMULT(B47:N47,AI$6:AI$18)+AI$5</f>
        <v>0.78168690164402621</v>
      </c>
      <c r="Z47" t="str">
        <f t="shared" si="1"/>
        <v>V1</v>
      </c>
      <c r="AA47">
        <f t="shared" si="2"/>
        <v>0</v>
      </c>
      <c r="AB47">
        <f t="shared" si="3"/>
        <v>2.577682130600609E-2</v>
      </c>
    </row>
    <row r="48" spans="1:28" x14ac:dyDescent="0.25">
      <c r="A48" t="s">
        <v>14</v>
      </c>
      <c r="B48">
        <v>14.38</v>
      </c>
      <c r="C48">
        <v>3.59</v>
      </c>
      <c r="D48">
        <v>2.2799999999999998</v>
      </c>
      <c r="E48">
        <v>16</v>
      </c>
      <c r="F48">
        <v>102</v>
      </c>
      <c r="G48">
        <v>3.25</v>
      </c>
      <c r="H48">
        <v>3.17</v>
      </c>
      <c r="I48">
        <v>0.27</v>
      </c>
      <c r="J48">
        <v>2.19</v>
      </c>
      <c r="K48">
        <v>4.9000000000000004</v>
      </c>
      <c r="L48">
        <v>1.04</v>
      </c>
      <c r="M48">
        <v>3.44</v>
      </c>
      <c r="N48">
        <v>1065</v>
      </c>
      <c r="X48">
        <f t="shared" si="0"/>
        <v>0</v>
      </c>
      <c r="Y48" cm="1">
        <f t="array" ref="Y48">MMULT(B48:N48,AI$6:AI$18)+AI$5</f>
        <v>0.5415929365533656</v>
      </c>
      <c r="Z48" t="str">
        <f t="shared" si="1"/>
        <v>V1</v>
      </c>
      <c r="AA48">
        <f t="shared" si="2"/>
        <v>0</v>
      </c>
      <c r="AB48">
        <f t="shared" si="3"/>
        <v>6.3269853455328352E-3</v>
      </c>
    </row>
    <row r="49" spans="1:28" x14ac:dyDescent="0.25">
      <c r="A49" t="s">
        <v>14</v>
      </c>
      <c r="B49">
        <v>13.9</v>
      </c>
      <c r="C49">
        <v>1.68</v>
      </c>
      <c r="D49">
        <v>2.12</v>
      </c>
      <c r="E49">
        <v>16</v>
      </c>
      <c r="F49">
        <v>101</v>
      </c>
      <c r="G49">
        <v>3.1</v>
      </c>
      <c r="H49">
        <v>3.39</v>
      </c>
      <c r="I49">
        <v>0.21</v>
      </c>
      <c r="J49">
        <v>2.14</v>
      </c>
      <c r="K49">
        <v>6.1</v>
      </c>
      <c r="L49">
        <v>0.91</v>
      </c>
      <c r="M49">
        <v>3.33</v>
      </c>
      <c r="N49">
        <v>985</v>
      </c>
      <c r="X49">
        <f t="shared" si="0"/>
        <v>0</v>
      </c>
      <c r="Y49" cm="1">
        <f t="array" ref="Y49">MMULT(B49:N49,AI$6:AI$18)+AI$5</f>
        <v>0.60926279065678823</v>
      </c>
      <c r="Z49" t="str">
        <f t="shared" si="1"/>
        <v>V1</v>
      </c>
      <c r="AA49">
        <f t="shared" si="2"/>
        <v>0</v>
      </c>
      <c r="AB49">
        <f t="shared" si="3"/>
        <v>1.4095614418830355E-4</v>
      </c>
    </row>
    <row r="50" spans="1:28" x14ac:dyDescent="0.25">
      <c r="A50" t="s">
        <v>14</v>
      </c>
      <c r="B50">
        <v>14.1</v>
      </c>
      <c r="C50">
        <v>2.02</v>
      </c>
      <c r="D50">
        <v>2.4</v>
      </c>
      <c r="E50">
        <v>18.8</v>
      </c>
      <c r="F50">
        <v>103</v>
      </c>
      <c r="G50">
        <v>2.75</v>
      </c>
      <c r="H50">
        <v>2.92</v>
      </c>
      <c r="I50">
        <v>0.32</v>
      </c>
      <c r="J50">
        <v>2.38</v>
      </c>
      <c r="K50">
        <v>6.2</v>
      </c>
      <c r="L50">
        <v>1.07</v>
      </c>
      <c r="M50">
        <v>2.75</v>
      </c>
      <c r="N50">
        <v>1060</v>
      </c>
      <c r="X50">
        <f t="shared" si="0"/>
        <v>0</v>
      </c>
      <c r="Y50" cm="1">
        <f t="array" ref="Y50">MMULT(B50:N50,AI$6:AI$18)+AI$5</f>
        <v>0.81082469283378189</v>
      </c>
      <c r="Z50" t="str">
        <f t="shared" si="1"/>
        <v>V1</v>
      </c>
      <c r="AA50">
        <f t="shared" si="2"/>
        <v>0</v>
      </c>
      <c r="AB50">
        <f t="shared" si="3"/>
        <v>3.5982071088698657E-2</v>
      </c>
    </row>
    <row r="51" spans="1:28" x14ac:dyDescent="0.25">
      <c r="A51" t="s">
        <v>14</v>
      </c>
      <c r="B51">
        <v>13.94</v>
      </c>
      <c r="C51">
        <v>1.73</v>
      </c>
      <c r="D51">
        <v>2.27</v>
      </c>
      <c r="E51">
        <v>17.399999999999999</v>
      </c>
      <c r="F51">
        <v>108</v>
      </c>
      <c r="G51">
        <v>2.88</v>
      </c>
      <c r="H51">
        <v>3.54</v>
      </c>
      <c r="I51">
        <v>0.32</v>
      </c>
      <c r="J51">
        <v>2.08</v>
      </c>
      <c r="K51">
        <v>8.9</v>
      </c>
      <c r="L51">
        <v>1.1200000000000001</v>
      </c>
      <c r="M51">
        <v>3.1</v>
      </c>
      <c r="N51">
        <v>1260</v>
      </c>
      <c r="X51">
        <f t="shared" si="0"/>
        <v>0</v>
      </c>
      <c r="Y51" cm="1">
        <f t="array" ref="Y51">MMULT(B51:N51,AI$6:AI$18)+AI$5</f>
        <v>0.60737990970260691</v>
      </c>
      <c r="Z51" t="str">
        <f t="shared" si="1"/>
        <v>V1</v>
      </c>
      <c r="AA51">
        <f t="shared" si="2"/>
        <v>0</v>
      </c>
      <c r="AB51">
        <f t="shared" si="3"/>
        <v>1.892103753608899E-4</v>
      </c>
    </row>
    <row r="52" spans="1:28" x14ac:dyDescent="0.25">
      <c r="A52" t="s">
        <v>14</v>
      </c>
      <c r="B52">
        <v>13.05</v>
      </c>
      <c r="C52">
        <v>1.73</v>
      </c>
      <c r="D52">
        <v>2.04</v>
      </c>
      <c r="E52">
        <v>12.4</v>
      </c>
      <c r="F52">
        <v>92</v>
      </c>
      <c r="G52">
        <v>2.72</v>
      </c>
      <c r="H52">
        <v>3.27</v>
      </c>
      <c r="I52">
        <v>0.17</v>
      </c>
      <c r="J52">
        <v>2.91</v>
      </c>
      <c r="K52">
        <v>7.2</v>
      </c>
      <c r="L52">
        <v>1.1200000000000001</v>
      </c>
      <c r="M52">
        <v>2.91</v>
      </c>
      <c r="N52">
        <v>1150</v>
      </c>
      <c r="X52">
        <f t="shared" si="0"/>
        <v>0</v>
      </c>
      <c r="Y52" cm="1">
        <f t="array" ref="Y52">MMULT(B52:N52,AI$6:AI$18)+AI$5</f>
        <v>0.64972213674420276</v>
      </c>
      <c r="Z52" t="str">
        <f t="shared" si="1"/>
        <v>V1</v>
      </c>
      <c r="AA52">
        <f t="shared" si="2"/>
        <v>0</v>
      </c>
      <c r="AB52">
        <f t="shared" si="3"/>
        <v>8.1720803905002671E-4</v>
      </c>
    </row>
    <row r="53" spans="1:28" x14ac:dyDescent="0.25">
      <c r="A53" t="s">
        <v>14</v>
      </c>
      <c r="B53">
        <v>13.83</v>
      </c>
      <c r="C53">
        <v>1.65</v>
      </c>
      <c r="D53">
        <v>2.6</v>
      </c>
      <c r="E53">
        <v>17.2</v>
      </c>
      <c r="F53">
        <v>94</v>
      </c>
      <c r="G53">
        <v>2.4500000000000002</v>
      </c>
      <c r="H53">
        <v>2.99</v>
      </c>
      <c r="I53">
        <v>0.22</v>
      </c>
      <c r="J53">
        <v>2.29</v>
      </c>
      <c r="K53">
        <v>5.6</v>
      </c>
      <c r="L53">
        <v>1.24</v>
      </c>
      <c r="M53">
        <v>3.37</v>
      </c>
      <c r="N53">
        <v>1265</v>
      </c>
      <c r="X53">
        <f t="shared" si="0"/>
        <v>0</v>
      </c>
      <c r="Y53" cm="1">
        <f t="array" ref="Y53">MMULT(B53:N53,AI$6:AI$18)+AI$5</f>
        <v>0.45492665968851265</v>
      </c>
      <c r="Z53" t="str">
        <f t="shared" si="1"/>
        <v>V1</v>
      </c>
      <c r="AA53">
        <f t="shared" si="2"/>
        <v>0</v>
      </c>
      <c r="AB53">
        <f t="shared" si="3"/>
        <v>2.7625307439544493E-2</v>
      </c>
    </row>
    <row r="54" spans="1:28" x14ac:dyDescent="0.25">
      <c r="A54" t="s">
        <v>14</v>
      </c>
      <c r="B54">
        <v>13.82</v>
      </c>
      <c r="C54">
        <v>1.75</v>
      </c>
      <c r="D54">
        <v>2.42</v>
      </c>
      <c r="E54">
        <v>14</v>
      </c>
      <c r="F54">
        <v>111</v>
      </c>
      <c r="G54">
        <v>3.88</v>
      </c>
      <c r="H54">
        <v>3.74</v>
      </c>
      <c r="I54">
        <v>0.32</v>
      </c>
      <c r="J54">
        <v>1.87</v>
      </c>
      <c r="K54">
        <v>7.05</v>
      </c>
      <c r="L54">
        <v>1.01</v>
      </c>
      <c r="M54">
        <v>3.26</v>
      </c>
      <c r="N54">
        <v>1190</v>
      </c>
      <c r="X54">
        <f t="shared" si="0"/>
        <v>0</v>
      </c>
      <c r="Y54" cm="1">
        <f t="array" ref="Y54">MMULT(B54:N54,AI$6:AI$18)+AI$5</f>
        <v>0.45932928921062821</v>
      </c>
      <c r="Z54" t="str">
        <f t="shared" si="1"/>
        <v>V1</v>
      </c>
      <c r="AA54">
        <f t="shared" si="2"/>
        <v>0</v>
      </c>
      <c r="AB54">
        <f t="shared" si="3"/>
        <v>2.6181180576746194E-2</v>
      </c>
    </row>
    <row r="55" spans="1:28" x14ac:dyDescent="0.25">
      <c r="A55" t="s">
        <v>14</v>
      </c>
      <c r="B55">
        <v>13.77</v>
      </c>
      <c r="C55">
        <v>1.9</v>
      </c>
      <c r="D55">
        <v>2.68</v>
      </c>
      <c r="E55">
        <v>17.100000000000001</v>
      </c>
      <c r="F55">
        <v>115</v>
      </c>
      <c r="G55">
        <v>3</v>
      </c>
      <c r="H55">
        <v>2.79</v>
      </c>
      <c r="I55">
        <v>0.39</v>
      </c>
      <c r="J55">
        <v>1.68</v>
      </c>
      <c r="K55">
        <v>6.3</v>
      </c>
      <c r="L55">
        <v>1.1299999999999999</v>
      </c>
      <c r="M55">
        <v>2.93</v>
      </c>
      <c r="N55">
        <v>1375</v>
      </c>
      <c r="X55">
        <f t="shared" si="0"/>
        <v>0</v>
      </c>
      <c r="Y55" cm="1">
        <f t="array" ref="Y55">MMULT(B55:N55,AI$6:AI$18)+AI$5</f>
        <v>0.61642679082208174</v>
      </c>
      <c r="Z55" t="str">
        <f t="shared" si="1"/>
        <v>V1</v>
      </c>
      <c r="AA55">
        <f t="shared" si="2"/>
        <v>0</v>
      </c>
      <c r="AB55">
        <f t="shared" si="3"/>
        <v>2.2169926251037354E-5</v>
      </c>
    </row>
    <row r="56" spans="1:28" x14ac:dyDescent="0.25">
      <c r="A56" t="s">
        <v>14</v>
      </c>
      <c r="B56">
        <v>13.74</v>
      </c>
      <c r="C56">
        <v>1.67</v>
      </c>
      <c r="D56">
        <v>2.25</v>
      </c>
      <c r="E56">
        <v>16.399999999999999</v>
      </c>
      <c r="F56">
        <v>118</v>
      </c>
      <c r="G56">
        <v>2.6</v>
      </c>
      <c r="H56">
        <v>2.9</v>
      </c>
      <c r="I56">
        <v>0.21</v>
      </c>
      <c r="J56">
        <v>1.62</v>
      </c>
      <c r="K56">
        <v>5.85</v>
      </c>
      <c r="L56">
        <v>0.92</v>
      </c>
      <c r="M56">
        <v>3.2</v>
      </c>
      <c r="N56">
        <v>1060</v>
      </c>
      <c r="X56">
        <f t="shared" si="0"/>
        <v>0</v>
      </c>
      <c r="Y56" cm="1">
        <f t="array" ref="Y56">MMULT(B56:N56,AI$6:AI$18)+AI$5</f>
        <v>0.67351550787651915</v>
      </c>
      <c r="Z56" t="str">
        <f t="shared" si="1"/>
        <v>V1</v>
      </c>
      <c r="AA56">
        <f t="shared" si="2"/>
        <v>0</v>
      </c>
      <c r="AB56">
        <f t="shared" si="3"/>
        <v>2.7436876503906956E-3</v>
      </c>
    </row>
    <row r="57" spans="1:28" x14ac:dyDescent="0.25">
      <c r="A57" t="s">
        <v>14</v>
      </c>
      <c r="B57">
        <v>13.56</v>
      </c>
      <c r="C57">
        <v>1.73</v>
      </c>
      <c r="D57">
        <v>2.46</v>
      </c>
      <c r="E57">
        <v>20.5</v>
      </c>
      <c r="F57">
        <v>116</v>
      </c>
      <c r="G57">
        <v>2.96</v>
      </c>
      <c r="H57">
        <v>2.78</v>
      </c>
      <c r="I57">
        <v>0.2</v>
      </c>
      <c r="J57">
        <v>2.4500000000000002</v>
      </c>
      <c r="K57">
        <v>6.25</v>
      </c>
      <c r="L57">
        <v>0.98</v>
      </c>
      <c r="M57">
        <v>3.03</v>
      </c>
      <c r="N57">
        <v>1120</v>
      </c>
      <c r="X57">
        <f t="shared" si="0"/>
        <v>0</v>
      </c>
      <c r="Y57" cm="1">
        <f t="array" ref="Y57">MMULT(B57:N57,AI$6:AI$18)+AI$5</f>
        <v>0.90587274264442708</v>
      </c>
      <c r="Z57" t="str">
        <f t="shared" si="1"/>
        <v>V1</v>
      </c>
      <c r="AA57">
        <f t="shared" si="2"/>
        <v>0</v>
      </c>
      <c r="AB57">
        <f t="shared" si="3"/>
        <v>8.1075419251982403E-2</v>
      </c>
    </row>
    <row r="58" spans="1:28" x14ac:dyDescent="0.25">
      <c r="A58" t="s">
        <v>14</v>
      </c>
      <c r="B58">
        <v>14.22</v>
      </c>
      <c r="C58">
        <v>1.7</v>
      </c>
      <c r="D58">
        <v>2.2999999999999998</v>
      </c>
      <c r="E58">
        <v>16.3</v>
      </c>
      <c r="F58">
        <v>118</v>
      </c>
      <c r="G58">
        <v>3.2</v>
      </c>
      <c r="H58">
        <v>3</v>
      </c>
      <c r="I58">
        <v>0.26</v>
      </c>
      <c r="J58">
        <v>2.0299999999999998</v>
      </c>
      <c r="K58">
        <v>6.38</v>
      </c>
      <c r="L58">
        <v>0.94</v>
      </c>
      <c r="M58">
        <v>3.31</v>
      </c>
      <c r="N58">
        <v>970</v>
      </c>
      <c r="X58">
        <f t="shared" si="0"/>
        <v>0</v>
      </c>
      <c r="Y58" cm="1">
        <f t="array" ref="Y58">MMULT(B58:N58,AI$6:AI$18)+AI$5</f>
        <v>0.71909771880262907</v>
      </c>
      <c r="Z58" t="str">
        <f t="shared" si="1"/>
        <v>V1</v>
      </c>
      <c r="AA58">
        <f t="shared" si="2"/>
        <v>0</v>
      </c>
      <c r="AB58">
        <f t="shared" si="3"/>
        <v>9.5966382528732356E-3</v>
      </c>
    </row>
    <row r="59" spans="1:28" x14ac:dyDescent="0.25">
      <c r="A59" t="s">
        <v>14</v>
      </c>
      <c r="B59">
        <v>13.29</v>
      </c>
      <c r="C59">
        <v>1.97</v>
      </c>
      <c r="D59">
        <v>2.68</v>
      </c>
      <c r="E59">
        <v>16.8</v>
      </c>
      <c r="F59">
        <v>102</v>
      </c>
      <c r="G59">
        <v>3</v>
      </c>
      <c r="H59">
        <v>3.23</v>
      </c>
      <c r="I59">
        <v>0.31</v>
      </c>
      <c r="J59">
        <v>1.66</v>
      </c>
      <c r="K59">
        <v>6</v>
      </c>
      <c r="L59">
        <v>1.07</v>
      </c>
      <c r="M59">
        <v>2.84</v>
      </c>
      <c r="N59">
        <v>1270</v>
      </c>
      <c r="X59">
        <f t="shared" si="0"/>
        <v>0</v>
      </c>
      <c r="Y59" cm="1">
        <f t="array" ref="Y59">MMULT(B59:N59,AI$6:AI$18)+AI$5</f>
        <v>0.59224404515475593</v>
      </c>
      <c r="Z59" t="str">
        <f t="shared" si="1"/>
        <v>V1</v>
      </c>
      <c r="AA59">
        <f t="shared" si="2"/>
        <v>0</v>
      </c>
      <c r="AB59">
        <f t="shared" si="3"/>
        <v>8.3470379396109306E-4</v>
      </c>
    </row>
    <row r="60" spans="1:28" x14ac:dyDescent="0.25">
      <c r="A60" t="s">
        <v>14</v>
      </c>
      <c r="B60">
        <v>13.72</v>
      </c>
      <c r="C60">
        <v>1.43</v>
      </c>
      <c r="D60">
        <v>2.5</v>
      </c>
      <c r="E60">
        <v>16.7</v>
      </c>
      <c r="F60">
        <v>108</v>
      </c>
      <c r="G60">
        <v>3.4</v>
      </c>
      <c r="H60">
        <v>3.67</v>
      </c>
      <c r="I60">
        <v>0.19</v>
      </c>
      <c r="J60">
        <v>2.04</v>
      </c>
      <c r="K60">
        <v>6.8</v>
      </c>
      <c r="L60">
        <v>0.89</v>
      </c>
      <c r="M60">
        <v>2.87</v>
      </c>
      <c r="N60">
        <v>1285</v>
      </c>
      <c r="X60">
        <f t="shared" si="0"/>
        <v>0</v>
      </c>
      <c r="Y60" cm="1">
        <f t="array" ref="Y60">MMULT(B60:N60,AI$6:AI$18)+AI$5</f>
        <v>0.57218625745190232</v>
      </c>
      <c r="Z60" t="str">
        <f t="shared" si="1"/>
        <v>V1</v>
      </c>
      <c r="AA60">
        <f t="shared" si="2"/>
        <v>0</v>
      </c>
      <c r="AB60">
        <f t="shared" si="3"/>
        <v>2.3960073896747013E-3</v>
      </c>
    </row>
    <row r="61" spans="1:28" x14ac:dyDescent="0.25">
      <c r="A61" t="s">
        <v>15</v>
      </c>
      <c r="B61">
        <v>12.37</v>
      </c>
      <c r="C61">
        <v>0.94</v>
      </c>
      <c r="D61">
        <v>1.36</v>
      </c>
      <c r="E61">
        <v>10.6</v>
      </c>
      <c r="F61">
        <v>88</v>
      </c>
      <c r="G61">
        <v>1.98</v>
      </c>
      <c r="H61">
        <v>0.56999999999999995</v>
      </c>
      <c r="I61">
        <v>0.28000000000000003</v>
      </c>
      <c r="J61">
        <v>0.42</v>
      </c>
      <c r="K61">
        <v>1.95</v>
      </c>
      <c r="L61">
        <v>1.05</v>
      </c>
      <c r="M61">
        <v>1.82</v>
      </c>
      <c r="N61">
        <v>520</v>
      </c>
      <c r="X61">
        <f t="shared" si="0"/>
        <v>1</v>
      </c>
      <c r="Y61" cm="1">
        <f t="array" ref="Y61">MMULT(B61:N61,AI$6:AI$18)+AI$5</f>
        <v>1.4729825318188343</v>
      </c>
      <c r="Z61" t="str">
        <f t="shared" si="1"/>
        <v>V2</v>
      </c>
      <c r="AA61">
        <f t="shared" si="2"/>
        <v>0</v>
      </c>
      <c r="AB61">
        <f t="shared" si="3"/>
        <v>8.8082067755364465E-2</v>
      </c>
    </row>
    <row r="62" spans="1:28" x14ac:dyDescent="0.25">
      <c r="A62" t="s">
        <v>15</v>
      </c>
      <c r="B62">
        <v>12.33</v>
      </c>
      <c r="C62">
        <v>1.1000000000000001</v>
      </c>
      <c r="D62">
        <v>2.2799999999999998</v>
      </c>
      <c r="E62">
        <v>16</v>
      </c>
      <c r="F62">
        <v>101</v>
      </c>
      <c r="G62">
        <v>2.0499999999999998</v>
      </c>
      <c r="H62">
        <v>1.0900000000000001</v>
      </c>
      <c r="I62">
        <v>0.63</v>
      </c>
      <c r="J62">
        <v>0.41</v>
      </c>
      <c r="K62">
        <v>3.27</v>
      </c>
      <c r="L62">
        <v>1.25</v>
      </c>
      <c r="M62">
        <v>1.67</v>
      </c>
      <c r="N62">
        <v>680</v>
      </c>
      <c r="X62">
        <f t="shared" si="0"/>
        <v>1</v>
      </c>
      <c r="Y62" cm="1">
        <f t="array" ref="Y62">MMULT(B62:N62,AI$6:AI$18)+AI$5</f>
        <v>1.342857233280673</v>
      </c>
      <c r="Z62" t="str">
        <f t="shared" si="1"/>
        <v>V2</v>
      </c>
      <c r="AA62">
        <f t="shared" si="2"/>
        <v>0</v>
      </c>
      <c r="AB62">
        <f t="shared" si="3"/>
        <v>2.77758668831001E-2</v>
      </c>
    </row>
    <row r="63" spans="1:28" x14ac:dyDescent="0.25">
      <c r="A63" t="s">
        <v>15</v>
      </c>
      <c r="B63">
        <v>12.64</v>
      </c>
      <c r="C63">
        <v>1.36</v>
      </c>
      <c r="D63">
        <v>2.02</v>
      </c>
      <c r="E63">
        <v>16.8</v>
      </c>
      <c r="F63">
        <v>100</v>
      </c>
      <c r="G63">
        <v>2.02</v>
      </c>
      <c r="H63">
        <v>1.41</v>
      </c>
      <c r="I63">
        <v>0.53</v>
      </c>
      <c r="J63">
        <v>0.62</v>
      </c>
      <c r="K63">
        <v>5.75</v>
      </c>
      <c r="L63">
        <v>0.98</v>
      </c>
      <c r="M63">
        <v>1.59</v>
      </c>
      <c r="N63">
        <v>450</v>
      </c>
      <c r="X63">
        <f t="shared" si="0"/>
        <v>1</v>
      </c>
      <c r="Y63" cm="1">
        <f t="array" ref="Y63">MMULT(B63:N63,AI$6:AI$18)+AI$5</f>
        <v>1.6234342073526411</v>
      </c>
      <c r="Z63" t="str">
        <f t="shared" si="1"/>
        <v>V3</v>
      </c>
      <c r="AA63">
        <f t="shared" si="2"/>
        <v>1</v>
      </c>
      <c r="AB63">
        <f t="shared" si="3"/>
        <v>0.20002174631286612</v>
      </c>
    </row>
    <row r="64" spans="1:28" x14ac:dyDescent="0.25">
      <c r="A64" t="s">
        <v>15</v>
      </c>
      <c r="B64">
        <v>13.67</v>
      </c>
      <c r="C64">
        <v>1.25</v>
      </c>
      <c r="D64">
        <v>1.92</v>
      </c>
      <c r="E64">
        <v>18</v>
      </c>
      <c r="F64">
        <v>94</v>
      </c>
      <c r="G64">
        <v>2.1</v>
      </c>
      <c r="H64">
        <v>1.79</v>
      </c>
      <c r="I64">
        <v>0.32</v>
      </c>
      <c r="J64">
        <v>0.73</v>
      </c>
      <c r="K64">
        <v>3.8</v>
      </c>
      <c r="L64">
        <v>1.23</v>
      </c>
      <c r="M64">
        <v>2.46</v>
      </c>
      <c r="N64">
        <v>630</v>
      </c>
      <c r="X64">
        <f t="shared" si="0"/>
        <v>1</v>
      </c>
      <c r="Y64" cm="1">
        <f t="array" ref="Y64">MMULT(B64:N64,AI$6:AI$18)+AI$5</f>
        <v>1.1208731397131599</v>
      </c>
      <c r="Z64" t="str">
        <f t="shared" si="1"/>
        <v>V2</v>
      </c>
      <c r="AA64">
        <f t="shared" si="2"/>
        <v>0</v>
      </c>
      <c r="AB64">
        <f t="shared" si="3"/>
        <v>3.0606519973631397E-3</v>
      </c>
    </row>
    <row r="65" spans="1:28" x14ac:dyDescent="0.25">
      <c r="A65" t="s">
        <v>15</v>
      </c>
      <c r="B65">
        <v>12.37</v>
      </c>
      <c r="C65">
        <v>1.1299999999999999</v>
      </c>
      <c r="D65">
        <v>2.16</v>
      </c>
      <c r="E65">
        <v>19</v>
      </c>
      <c r="F65">
        <v>87</v>
      </c>
      <c r="G65">
        <v>3.5</v>
      </c>
      <c r="H65">
        <v>3.1</v>
      </c>
      <c r="I65">
        <v>0.19</v>
      </c>
      <c r="J65">
        <v>1.87</v>
      </c>
      <c r="K65">
        <v>4.45</v>
      </c>
      <c r="L65">
        <v>1.22</v>
      </c>
      <c r="M65">
        <v>2.87</v>
      </c>
      <c r="N65">
        <v>420</v>
      </c>
      <c r="X65">
        <f t="shared" si="0"/>
        <v>1</v>
      </c>
      <c r="Y65" cm="1">
        <f t="array" ref="Y65">MMULT(B65:N65,AI$6:AI$18)+AI$5</f>
        <v>1.0935599981336064</v>
      </c>
      <c r="Z65" t="str">
        <f t="shared" si="1"/>
        <v>V2</v>
      </c>
      <c r="AA65">
        <f t="shared" si="2"/>
        <v>0</v>
      </c>
      <c r="AB65">
        <f t="shared" si="3"/>
        <v>6.8287582864338149E-3</v>
      </c>
    </row>
    <row r="66" spans="1:28" x14ac:dyDescent="0.25">
      <c r="A66" t="s">
        <v>15</v>
      </c>
      <c r="B66">
        <v>12.17</v>
      </c>
      <c r="C66">
        <v>1.45</v>
      </c>
      <c r="D66">
        <v>2.5299999999999998</v>
      </c>
      <c r="E66">
        <v>19</v>
      </c>
      <c r="F66">
        <v>104</v>
      </c>
      <c r="G66">
        <v>1.89</v>
      </c>
      <c r="H66">
        <v>1.75</v>
      </c>
      <c r="I66">
        <v>0.45</v>
      </c>
      <c r="J66">
        <v>1.03</v>
      </c>
      <c r="K66">
        <v>2.95</v>
      </c>
      <c r="L66">
        <v>1.45</v>
      </c>
      <c r="M66">
        <v>2.23</v>
      </c>
      <c r="N66">
        <v>355</v>
      </c>
      <c r="X66">
        <f t="shared" si="0"/>
        <v>1</v>
      </c>
      <c r="Y66" cm="1">
        <f t="array" ref="Y66">MMULT(B66:N66,AI$6:AI$18)+AI$5</f>
        <v>1.2575411741976044</v>
      </c>
      <c r="Z66" t="str">
        <f t="shared" si="1"/>
        <v>V2</v>
      </c>
      <c r="AA66">
        <f t="shared" si="2"/>
        <v>0</v>
      </c>
      <c r="AB66">
        <f t="shared" si="3"/>
        <v>6.6169886563855872E-3</v>
      </c>
    </row>
    <row r="67" spans="1:28" x14ac:dyDescent="0.25">
      <c r="A67" t="s">
        <v>15</v>
      </c>
      <c r="B67">
        <v>12.37</v>
      </c>
      <c r="C67">
        <v>1.21</v>
      </c>
      <c r="D67">
        <v>2.56</v>
      </c>
      <c r="E67">
        <v>18.100000000000001</v>
      </c>
      <c r="F67">
        <v>98</v>
      </c>
      <c r="G67">
        <v>2.42</v>
      </c>
      <c r="H67">
        <v>2.65</v>
      </c>
      <c r="I67">
        <v>0.37</v>
      </c>
      <c r="J67">
        <v>2.08</v>
      </c>
      <c r="K67">
        <v>4.5999999999999996</v>
      </c>
      <c r="L67">
        <v>1.19</v>
      </c>
      <c r="M67">
        <v>2.2999999999999998</v>
      </c>
      <c r="N67">
        <v>678</v>
      </c>
      <c r="X67">
        <f t="shared" ref="X67:X130" si="6">IF(A67=$AH$1,$AG$1,IF(A67=$AH$2,$AG$2,$AG$3))</f>
        <v>1</v>
      </c>
      <c r="Y67" cm="1">
        <f t="array" ref="Y67">MMULT(B67:N67,AI$6:AI$18)+AI$5</f>
        <v>1.0365658699432161</v>
      </c>
      <c r="Z67" t="str">
        <f t="shared" ref="Z67:Z130" si="7">IF(Y67&lt;$AI$21,AH$1,IF(Y67&lt;AI$22,AH$2,AH$3))</f>
        <v>V2</v>
      </c>
      <c r="AA67">
        <f t="shared" ref="AA67:AA130" si="8">IF(Z67=A67,0,1)</f>
        <v>0</v>
      </c>
      <c r="AB67">
        <f t="shared" ref="AB67:AB130" si="9">IF(X67=AG$1,(Y67-AG$21)^2,IF(X67=AG$2,(Y67-AG$22)^2,(Y67-AG$23)^2))</f>
        <v>1.949665682934584E-2</v>
      </c>
    </row>
    <row r="68" spans="1:28" x14ac:dyDescent="0.25">
      <c r="A68" t="s">
        <v>15</v>
      </c>
      <c r="B68">
        <v>13.11</v>
      </c>
      <c r="C68">
        <v>1.01</v>
      </c>
      <c r="D68">
        <v>1.7</v>
      </c>
      <c r="E68">
        <v>15</v>
      </c>
      <c r="F68">
        <v>78</v>
      </c>
      <c r="G68">
        <v>2.98</v>
      </c>
      <c r="H68">
        <v>3.18</v>
      </c>
      <c r="I68">
        <v>0.26</v>
      </c>
      <c r="J68">
        <v>2.2799999999999998</v>
      </c>
      <c r="K68">
        <v>5.3</v>
      </c>
      <c r="L68">
        <v>1.1200000000000001</v>
      </c>
      <c r="M68">
        <v>3.18</v>
      </c>
      <c r="N68">
        <v>502</v>
      </c>
      <c r="X68">
        <f t="shared" si="6"/>
        <v>1</v>
      </c>
      <c r="Y68" cm="1">
        <f t="array" ref="Y68">MMULT(B68:N68,AI$6:AI$18)+AI$5</f>
        <v>0.84044889013539748</v>
      </c>
      <c r="Z68" t="str">
        <f t="shared" si="7"/>
        <v>V1</v>
      </c>
      <c r="AA68">
        <f t="shared" si="8"/>
        <v>1</v>
      </c>
      <c r="AB68">
        <f t="shared" si="9"/>
        <v>0.11272632282563207</v>
      </c>
    </row>
    <row r="69" spans="1:28" x14ac:dyDescent="0.25">
      <c r="A69" t="s">
        <v>15</v>
      </c>
      <c r="B69">
        <v>12.37</v>
      </c>
      <c r="C69">
        <v>1.17</v>
      </c>
      <c r="D69">
        <v>1.92</v>
      </c>
      <c r="E69">
        <v>19.600000000000001</v>
      </c>
      <c r="F69">
        <v>78</v>
      </c>
      <c r="G69">
        <v>2.11</v>
      </c>
      <c r="H69">
        <v>2</v>
      </c>
      <c r="I69">
        <v>0.27</v>
      </c>
      <c r="J69">
        <v>1.04</v>
      </c>
      <c r="K69">
        <v>4.68</v>
      </c>
      <c r="L69">
        <v>1.1200000000000001</v>
      </c>
      <c r="M69">
        <v>3.48</v>
      </c>
      <c r="N69">
        <v>510</v>
      </c>
      <c r="X69">
        <f t="shared" si="6"/>
        <v>1</v>
      </c>
      <c r="Y69" cm="1">
        <f t="array" ref="Y69">MMULT(B69:N69,AI$6:AI$18)+AI$5</f>
        <v>1.1274555260074577</v>
      </c>
      <c r="Z69" t="str">
        <f t="shared" si="7"/>
        <v>V2</v>
      </c>
      <c r="AA69">
        <f t="shared" si="8"/>
        <v>0</v>
      </c>
      <c r="AB69">
        <f t="shared" si="9"/>
        <v>2.3756629905750111E-3</v>
      </c>
    </row>
    <row r="70" spans="1:28" x14ac:dyDescent="0.25">
      <c r="A70" t="s">
        <v>15</v>
      </c>
      <c r="B70">
        <v>13.34</v>
      </c>
      <c r="C70">
        <v>0.94</v>
      </c>
      <c r="D70">
        <v>2.36</v>
      </c>
      <c r="E70">
        <v>17</v>
      </c>
      <c r="F70">
        <v>110</v>
      </c>
      <c r="G70">
        <v>2.5299999999999998</v>
      </c>
      <c r="H70">
        <v>1.3</v>
      </c>
      <c r="I70">
        <v>0.55000000000000004</v>
      </c>
      <c r="J70">
        <v>0.42</v>
      </c>
      <c r="K70">
        <v>3.17</v>
      </c>
      <c r="L70">
        <v>1.02</v>
      </c>
      <c r="M70">
        <v>1.93</v>
      </c>
      <c r="N70">
        <v>750</v>
      </c>
      <c r="X70">
        <f t="shared" si="6"/>
        <v>1</v>
      </c>
      <c r="Y70" cm="1">
        <f t="array" ref="Y70">MMULT(B70:N70,AI$6:AI$18)+AI$5</f>
        <v>1.2502706729995194</v>
      </c>
      <c r="Z70" t="str">
        <f t="shared" si="7"/>
        <v>V2</v>
      </c>
      <c r="AA70">
        <f t="shared" si="8"/>
        <v>0</v>
      </c>
      <c r="AB70">
        <f t="shared" si="9"/>
        <v>5.4870128246598919E-3</v>
      </c>
    </row>
    <row r="71" spans="1:28" x14ac:dyDescent="0.25">
      <c r="A71" t="s">
        <v>15</v>
      </c>
      <c r="B71">
        <v>12.21</v>
      </c>
      <c r="C71">
        <v>1.19</v>
      </c>
      <c r="D71">
        <v>1.75</v>
      </c>
      <c r="E71">
        <v>16.8</v>
      </c>
      <c r="F71">
        <v>151</v>
      </c>
      <c r="G71">
        <v>1.85</v>
      </c>
      <c r="H71">
        <v>1.28</v>
      </c>
      <c r="I71">
        <v>0.14000000000000001</v>
      </c>
      <c r="J71">
        <v>2.5</v>
      </c>
      <c r="K71">
        <v>2.85</v>
      </c>
      <c r="L71">
        <v>1.28</v>
      </c>
      <c r="M71">
        <v>3.07</v>
      </c>
      <c r="N71">
        <v>718</v>
      </c>
      <c r="X71">
        <f t="shared" si="6"/>
        <v>1</v>
      </c>
      <c r="Y71" cm="1">
        <f t="array" ref="Y71">MMULT(B71:N71,AI$6:AI$18)+AI$5</f>
        <v>1.1435173826878786</v>
      </c>
      <c r="Z71" t="str">
        <f t="shared" si="7"/>
        <v>V2</v>
      </c>
      <c r="AA71">
        <f t="shared" si="8"/>
        <v>0</v>
      </c>
      <c r="AB71">
        <f t="shared" si="9"/>
        <v>1.0679115972577541E-3</v>
      </c>
    </row>
    <row r="72" spans="1:28" x14ac:dyDescent="0.25">
      <c r="A72" t="s">
        <v>15</v>
      </c>
      <c r="B72">
        <v>12.29</v>
      </c>
      <c r="C72">
        <v>1.61</v>
      </c>
      <c r="D72">
        <v>2.21</v>
      </c>
      <c r="E72">
        <v>20.399999999999999</v>
      </c>
      <c r="F72">
        <v>103</v>
      </c>
      <c r="G72">
        <v>1.1000000000000001</v>
      </c>
      <c r="H72">
        <v>1.02</v>
      </c>
      <c r="I72">
        <v>0.37</v>
      </c>
      <c r="J72">
        <v>1.46</v>
      </c>
      <c r="K72">
        <v>3.05</v>
      </c>
      <c r="L72">
        <v>0.90600000000000003</v>
      </c>
      <c r="M72">
        <v>1.82</v>
      </c>
      <c r="N72">
        <v>870</v>
      </c>
      <c r="X72">
        <f t="shared" si="6"/>
        <v>1</v>
      </c>
      <c r="Y72" cm="1">
        <f t="array" ref="Y72">MMULT(B72:N72,AI$6:AI$18)+AI$5</f>
        <v>1.4151720346935255</v>
      </c>
      <c r="Z72" t="str">
        <f t="shared" si="7"/>
        <v>V2</v>
      </c>
      <c r="AA72">
        <f t="shared" si="8"/>
        <v>0</v>
      </c>
      <c r="AB72">
        <f t="shared" si="9"/>
        <v>5.7109402060690075E-2</v>
      </c>
    </row>
    <row r="73" spans="1:28" x14ac:dyDescent="0.25">
      <c r="A73" t="s">
        <v>15</v>
      </c>
      <c r="B73">
        <v>13.86</v>
      </c>
      <c r="C73">
        <v>1.51</v>
      </c>
      <c r="D73">
        <v>2.67</v>
      </c>
      <c r="E73">
        <v>25</v>
      </c>
      <c r="F73">
        <v>86</v>
      </c>
      <c r="G73">
        <v>2.95</v>
      </c>
      <c r="H73">
        <v>2.86</v>
      </c>
      <c r="I73">
        <v>0.21</v>
      </c>
      <c r="J73">
        <v>1.87</v>
      </c>
      <c r="K73">
        <v>3.38</v>
      </c>
      <c r="L73">
        <v>1.36</v>
      </c>
      <c r="M73">
        <v>3.16</v>
      </c>
      <c r="N73">
        <v>410</v>
      </c>
      <c r="X73">
        <f t="shared" si="6"/>
        <v>1</v>
      </c>
      <c r="Y73" cm="1">
        <f t="array" ref="Y73">MMULT(B73:N73,AI$6:AI$18)+AI$5</f>
        <v>1.0049046353313127</v>
      </c>
      <c r="Z73" t="str">
        <f t="shared" si="7"/>
        <v>V2</v>
      </c>
      <c r="AA73">
        <f t="shared" si="8"/>
        <v>0</v>
      </c>
      <c r="AB73">
        <f t="shared" si="9"/>
        <v>2.9340834178266793E-2</v>
      </c>
    </row>
    <row r="74" spans="1:28" x14ac:dyDescent="0.25">
      <c r="A74" t="s">
        <v>15</v>
      </c>
      <c r="B74">
        <v>13.49</v>
      </c>
      <c r="C74">
        <v>1.66</v>
      </c>
      <c r="D74">
        <v>2.2400000000000002</v>
      </c>
      <c r="E74">
        <v>24</v>
      </c>
      <c r="F74">
        <v>87</v>
      </c>
      <c r="G74">
        <v>1.88</v>
      </c>
      <c r="H74">
        <v>1.84</v>
      </c>
      <c r="I74">
        <v>0.27</v>
      </c>
      <c r="J74">
        <v>1.03</v>
      </c>
      <c r="K74">
        <v>3.74</v>
      </c>
      <c r="L74">
        <v>0.98</v>
      </c>
      <c r="M74">
        <v>2.78</v>
      </c>
      <c r="N74">
        <v>472</v>
      </c>
      <c r="X74">
        <f t="shared" si="6"/>
        <v>1</v>
      </c>
      <c r="Y74" cm="1">
        <f t="array" ref="Y74">MMULT(B74:N74,AI$6:AI$18)+AI$5</f>
        <v>1.314146408740033</v>
      </c>
      <c r="Z74" t="str">
        <f t="shared" si="7"/>
        <v>V2</v>
      </c>
      <c r="AA74">
        <f t="shared" si="8"/>
        <v>0</v>
      </c>
      <c r="AB74">
        <f t="shared" si="9"/>
        <v>1.9030232667855806E-2</v>
      </c>
    </row>
    <row r="75" spans="1:28" x14ac:dyDescent="0.25">
      <c r="A75" t="s">
        <v>15</v>
      </c>
      <c r="B75">
        <v>12.99</v>
      </c>
      <c r="C75">
        <v>1.67</v>
      </c>
      <c r="D75">
        <v>2.6</v>
      </c>
      <c r="E75">
        <v>30</v>
      </c>
      <c r="F75">
        <v>139</v>
      </c>
      <c r="G75">
        <v>3.3</v>
      </c>
      <c r="H75">
        <v>2.89</v>
      </c>
      <c r="I75">
        <v>0.21</v>
      </c>
      <c r="J75">
        <v>1.96</v>
      </c>
      <c r="K75">
        <v>3.35</v>
      </c>
      <c r="L75">
        <v>1.31</v>
      </c>
      <c r="M75">
        <v>3.5</v>
      </c>
      <c r="N75">
        <v>985</v>
      </c>
      <c r="X75">
        <f t="shared" si="6"/>
        <v>1</v>
      </c>
      <c r="Y75" cm="1">
        <f t="array" ref="Y75">MMULT(B75:N75,AI$6:AI$18)+AI$5</f>
        <v>0.8861917417918066</v>
      </c>
      <c r="Z75" t="str">
        <f t="shared" si="7"/>
        <v>V1</v>
      </c>
      <c r="AA75">
        <f t="shared" si="8"/>
        <v>1</v>
      </c>
      <c r="AB75">
        <f t="shared" si="9"/>
        <v>8.4102643431571492E-2</v>
      </c>
    </row>
    <row r="76" spans="1:28" x14ac:dyDescent="0.25">
      <c r="A76" t="s">
        <v>15</v>
      </c>
      <c r="B76">
        <v>11.96</v>
      </c>
      <c r="C76">
        <v>1.0900000000000001</v>
      </c>
      <c r="D76">
        <v>2.2999999999999998</v>
      </c>
      <c r="E76">
        <v>21</v>
      </c>
      <c r="F76">
        <v>101</v>
      </c>
      <c r="G76">
        <v>3.38</v>
      </c>
      <c r="H76">
        <v>2.14</v>
      </c>
      <c r="I76">
        <v>0.13</v>
      </c>
      <c r="J76">
        <v>1.65</v>
      </c>
      <c r="K76">
        <v>3.21</v>
      </c>
      <c r="L76">
        <v>0.99</v>
      </c>
      <c r="M76">
        <v>3.13</v>
      </c>
      <c r="N76">
        <v>886</v>
      </c>
      <c r="X76">
        <f t="shared" si="6"/>
        <v>1</v>
      </c>
      <c r="Y76" cm="1">
        <f t="array" ref="Y76">MMULT(B76:N76,AI$6:AI$18)+AI$5</f>
        <v>1.1379632799002157</v>
      </c>
      <c r="Z76" t="str">
        <f t="shared" si="7"/>
        <v>V2</v>
      </c>
      <c r="AA76">
        <f t="shared" si="8"/>
        <v>0</v>
      </c>
      <c r="AB76">
        <f t="shared" si="9"/>
        <v>1.4617637798134786E-3</v>
      </c>
    </row>
    <row r="77" spans="1:28" x14ac:dyDescent="0.25">
      <c r="A77" t="s">
        <v>15</v>
      </c>
      <c r="B77">
        <v>11.66</v>
      </c>
      <c r="C77">
        <v>1.88</v>
      </c>
      <c r="D77">
        <v>1.92</v>
      </c>
      <c r="E77">
        <v>16</v>
      </c>
      <c r="F77">
        <v>97</v>
      </c>
      <c r="G77">
        <v>1.61</v>
      </c>
      <c r="H77">
        <v>1.57</v>
      </c>
      <c r="I77">
        <v>0.34</v>
      </c>
      <c r="J77">
        <v>1.1499999999999999</v>
      </c>
      <c r="K77">
        <v>3.8</v>
      </c>
      <c r="L77">
        <v>1.23</v>
      </c>
      <c r="M77">
        <v>2.14</v>
      </c>
      <c r="N77">
        <v>428</v>
      </c>
      <c r="X77">
        <f t="shared" si="6"/>
        <v>1</v>
      </c>
      <c r="Y77" cm="1">
        <f t="array" ref="Y77">MMULT(B77:N77,AI$6:AI$18)+AI$5</f>
        <v>1.3877885841152777</v>
      </c>
      <c r="Z77" t="str">
        <f t="shared" si="7"/>
        <v>V2</v>
      </c>
      <c r="AA77">
        <f t="shared" si="8"/>
        <v>0</v>
      </c>
      <c r="AB77">
        <f t="shared" si="9"/>
        <v>4.4771294952455708E-2</v>
      </c>
    </row>
    <row r="78" spans="1:28" x14ac:dyDescent="0.25">
      <c r="A78" t="s">
        <v>15</v>
      </c>
      <c r="B78">
        <v>13.03</v>
      </c>
      <c r="C78">
        <v>0.9</v>
      </c>
      <c r="D78">
        <v>1.71</v>
      </c>
      <c r="E78">
        <v>16</v>
      </c>
      <c r="F78">
        <v>86</v>
      </c>
      <c r="G78">
        <v>1.95</v>
      </c>
      <c r="H78">
        <v>2.0299999999999998</v>
      </c>
      <c r="I78">
        <v>0.24</v>
      </c>
      <c r="J78">
        <v>1.46</v>
      </c>
      <c r="K78">
        <v>4.5999999999999996</v>
      </c>
      <c r="L78">
        <v>1.19</v>
      </c>
      <c r="M78">
        <v>2.48</v>
      </c>
      <c r="N78">
        <v>392</v>
      </c>
      <c r="X78">
        <f t="shared" si="6"/>
        <v>1</v>
      </c>
      <c r="Y78" cm="1">
        <f t="array" ref="Y78">MMULT(B78:N78,AI$6:AI$18)+AI$5</f>
        <v>1.2216757072827489</v>
      </c>
      <c r="Z78" t="str">
        <f t="shared" si="7"/>
        <v>V2</v>
      </c>
      <c r="AA78">
        <f t="shared" si="8"/>
        <v>0</v>
      </c>
      <c r="AB78">
        <f t="shared" si="9"/>
        <v>2.0683765416716331E-3</v>
      </c>
    </row>
    <row r="79" spans="1:28" x14ac:dyDescent="0.25">
      <c r="A79" t="s">
        <v>15</v>
      </c>
      <c r="B79">
        <v>11.84</v>
      </c>
      <c r="C79">
        <v>2.89</v>
      </c>
      <c r="D79">
        <v>2.23</v>
      </c>
      <c r="E79">
        <v>18</v>
      </c>
      <c r="F79">
        <v>112</v>
      </c>
      <c r="G79">
        <v>1.72</v>
      </c>
      <c r="H79">
        <v>1.32</v>
      </c>
      <c r="I79">
        <v>0.43</v>
      </c>
      <c r="J79">
        <v>0.95</v>
      </c>
      <c r="K79">
        <v>2.65</v>
      </c>
      <c r="L79">
        <v>0.96</v>
      </c>
      <c r="M79">
        <v>2.52</v>
      </c>
      <c r="N79">
        <v>500</v>
      </c>
      <c r="X79">
        <f t="shared" si="6"/>
        <v>1</v>
      </c>
      <c r="Y79" cm="1">
        <f t="array" ref="Y79">MMULT(B79:N79,AI$6:AI$18)+AI$5</f>
        <v>1.3567583105714764</v>
      </c>
      <c r="Z79" t="str">
        <f t="shared" si="7"/>
        <v>V2</v>
      </c>
      <c r="AA79">
        <f t="shared" si="8"/>
        <v>0</v>
      </c>
      <c r="AB79">
        <f t="shared" si="9"/>
        <v>3.2602639879504028E-2</v>
      </c>
    </row>
    <row r="80" spans="1:28" x14ac:dyDescent="0.25">
      <c r="A80" t="s">
        <v>15</v>
      </c>
      <c r="B80">
        <v>12.33</v>
      </c>
      <c r="C80">
        <v>0.99</v>
      </c>
      <c r="D80">
        <v>1.95</v>
      </c>
      <c r="E80">
        <v>14.8</v>
      </c>
      <c r="F80">
        <v>136</v>
      </c>
      <c r="G80">
        <v>1.9</v>
      </c>
      <c r="H80">
        <v>1.85</v>
      </c>
      <c r="I80">
        <v>0.35</v>
      </c>
      <c r="J80">
        <v>2.76</v>
      </c>
      <c r="K80">
        <v>3.4</v>
      </c>
      <c r="L80">
        <v>1.06</v>
      </c>
      <c r="M80">
        <v>2.31</v>
      </c>
      <c r="N80">
        <v>750</v>
      </c>
      <c r="X80">
        <f t="shared" si="6"/>
        <v>1</v>
      </c>
      <c r="Y80" cm="1">
        <f t="array" ref="Y80">MMULT(B80:N80,AI$6:AI$18)+AI$5</f>
        <v>1.0679228840426629</v>
      </c>
      <c r="Z80" t="str">
        <f t="shared" si="7"/>
        <v>V2</v>
      </c>
      <c r="AA80">
        <f t="shared" si="8"/>
        <v>0</v>
      </c>
      <c r="AB80">
        <f t="shared" si="9"/>
        <v>1.1723132472413487E-2</v>
      </c>
    </row>
    <row r="81" spans="1:28" x14ac:dyDescent="0.25">
      <c r="A81" t="s">
        <v>15</v>
      </c>
      <c r="B81">
        <v>12.7</v>
      </c>
      <c r="C81">
        <v>3.87</v>
      </c>
      <c r="D81">
        <v>2.4</v>
      </c>
      <c r="E81">
        <v>23</v>
      </c>
      <c r="F81">
        <v>101</v>
      </c>
      <c r="G81">
        <v>2.83</v>
      </c>
      <c r="H81">
        <v>2.5499999999999998</v>
      </c>
      <c r="I81">
        <v>0.43</v>
      </c>
      <c r="J81">
        <v>1.95</v>
      </c>
      <c r="K81">
        <v>2.57</v>
      </c>
      <c r="L81">
        <v>1.19</v>
      </c>
      <c r="M81">
        <v>3.13</v>
      </c>
      <c r="N81">
        <v>463</v>
      </c>
      <c r="X81">
        <f t="shared" si="6"/>
        <v>1</v>
      </c>
      <c r="Y81" cm="1">
        <f t="array" ref="Y81">MMULT(B81:N81,AI$6:AI$18)+AI$5</f>
        <v>1.0842696197091781</v>
      </c>
      <c r="Z81" t="str">
        <f t="shared" si="7"/>
        <v>V2</v>
      </c>
      <c r="AA81">
        <f t="shared" si="8"/>
        <v>0</v>
      </c>
      <c r="AB81">
        <f t="shared" si="9"/>
        <v>8.4505144383600628E-3</v>
      </c>
    </row>
    <row r="82" spans="1:28" x14ac:dyDescent="0.25">
      <c r="A82" t="s">
        <v>15</v>
      </c>
      <c r="B82">
        <v>12</v>
      </c>
      <c r="C82">
        <v>0.92</v>
      </c>
      <c r="D82">
        <v>2</v>
      </c>
      <c r="E82">
        <v>19</v>
      </c>
      <c r="F82">
        <v>86</v>
      </c>
      <c r="G82">
        <v>2.42</v>
      </c>
      <c r="H82">
        <v>2.2599999999999998</v>
      </c>
      <c r="I82">
        <v>0.3</v>
      </c>
      <c r="J82">
        <v>1.43</v>
      </c>
      <c r="K82">
        <v>2.5</v>
      </c>
      <c r="L82">
        <v>1.38</v>
      </c>
      <c r="M82">
        <v>3.12</v>
      </c>
      <c r="N82">
        <v>278</v>
      </c>
      <c r="X82">
        <f t="shared" si="6"/>
        <v>1</v>
      </c>
      <c r="Y82" cm="1">
        <f t="array" ref="Y82">MMULT(B82:N82,AI$6:AI$18)+AI$5</f>
        <v>1.0704953390898693</v>
      </c>
      <c r="Z82" t="str">
        <f t="shared" si="7"/>
        <v>V2</v>
      </c>
      <c r="AA82">
        <f t="shared" si="8"/>
        <v>0</v>
      </c>
      <c r="AB82">
        <f t="shared" si="9"/>
        <v>1.1172693009772196E-2</v>
      </c>
    </row>
    <row r="83" spans="1:28" x14ac:dyDescent="0.25">
      <c r="A83" t="s">
        <v>15</v>
      </c>
      <c r="B83">
        <v>12.72</v>
      </c>
      <c r="C83">
        <v>1.81</v>
      </c>
      <c r="D83">
        <v>2.2000000000000002</v>
      </c>
      <c r="E83">
        <v>18.8</v>
      </c>
      <c r="F83">
        <v>86</v>
      </c>
      <c r="G83">
        <v>2.2000000000000002</v>
      </c>
      <c r="H83">
        <v>2.5299999999999998</v>
      </c>
      <c r="I83">
        <v>0.26</v>
      </c>
      <c r="J83">
        <v>1.77</v>
      </c>
      <c r="K83">
        <v>3.9</v>
      </c>
      <c r="L83">
        <v>1.1599999999999999</v>
      </c>
      <c r="M83">
        <v>3.14</v>
      </c>
      <c r="N83">
        <v>714</v>
      </c>
      <c r="X83">
        <f t="shared" si="6"/>
        <v>1</v>
      </c>
      <c r="Y83" cm="1">
        <f t="array" ref="Y83">MMULT(B83:N83,AI$6:AI$18)+AI$5</f>
        <v>0.87879353756278422</v>
      </c>
      <c r="Z83" t="str">
        <f t="shared" si="7"/>
        <v>V1</v>
      </c>
      <c r="AA83">
        <f t="shared" si="8"/>
        <v>1</v>
      </c>
      <c r="AB83">
        <f t="shared" si="9"/>
        <v>8.8448402746401408E-2</v>
      </c>
    </row>
    <row r="84" spans="1:28" x14ac:dyDescent="0.25">
      <c r="A84" t="s">
        <v>15</v>
      </c>
      <c r="B84">
        <v>12.08</v>
      </c>
      <c r="C84">
        <v>1.1299999999999999</v>
      </c>
      <c r="D84">
        <v>2.5099999999999998</v>
      </c>
      <c r="E84">
        <v>24</v>
      </c>
      <c r="F84">
        <v>78</v>
      </c>
      <c r="G84">
        <v>2</v>
      </c>
      <c r="H84">
        <v>1.58</v>
      </c>
      <c r="I84">
        <v>0.4</v>
      </c>
      <c r="J84">
        <v>1.4</v>
      </c>
      <c r="K84">
        <v>2.2000000000000002</v>
      </c>
      <c r="L84">
        <v>1.31</v>
      </c>
      <c r="M84">
        <v>2.72</v>
      </c>
      <c r="N84">
        <v>630</v>
      </c>
      <c r="X84">
        <f t="shared" si="6"/>
        <v>1</v>
      </c>
      <c r="Y84" cm="1">
        <f t="array" ref="Y84">MMULT(B84:N84,AI$6:AI$18)+AI$5</f>
        <v>1.2279112248350188</v>
      </c>
      <c r="Z84" t="str">
        <f t="shared" si="7"/>
        <v>V2</v>
      </c>
      <c r="AA84">
        <f t="shared" si="8"/>
        <v>0</v>
      </c>
      <c r="AB84">
        <f t="shared" si="9"/>
        <v>2.6744335130977274E-3</v>
      </c>
    </row>
    <row r="85" spans="1:28" x14ac:dyDescent="0.25">
      <c r="A85" t="s">
        <v>15</v>
      </c>
      <c r="B85">
        <v>13.05</v>
      </c>
      <c r="C85">
        <v>3.86</v>
      </c>
      <c r="D85">
        <v>2.3199999999999998</v>
      </c>
      <c r="E85">
        <v>22.5</v>
      </c>
      <c r="F85">
        <v>85</v>
      </c>
      <c r="G85">
        <v>1.65</v>
      </c>
      <c r="H85">
        <v>1.59</v>
      </c>
      <c r="I85">
        <v>0.61</v>
      </c>
      <c r="J85">
        <v>1.62</v>
      </c>
      <c r="K85">
        <v>4.8</v>
      </c>
      <c r="L85">
        <v>0.84</v>
      </c>
      <c r="M85">
        <v>2.0099999999999998</v>
      </c>
      <c r="N85">
        <v>515</v>
      </c>
      <c r="X85">
        <f t="shared" si="6"/>
        <v>1</v>
      </c>
      <c r="Y85" cm="1">
        <f t="array" ref="Y85">MMULT(B85:N85,AI$6:AI$18)+AI$5</f>
        <v>1.5682884541562248</v>
      </c>
      <c r="Z85" t="str">
        <f t="shared" si="7"/>
        <v>V3</v>
      </c>
      <c r="AA85">
        <f t="shared" si="8"/>
        <v>1</v>
      </c>
      <c r="AB85">
        <f t="shared" si="9"/>
        <v>0.15373625782401909</v>
      </c>
    </row>
    <row r="86" spans="1:28" x14ac:dyDescent="0.25">
      <c r="A86" t="s">
        <v>15</v>
      </c>
      <c r="B86">
        <v>11.84</v>
      </c>
      <c r="C86">
        <v>0.89</v>
      </c>
      <c r="D86">
        <v>2.58</v>
      </c>
      <c r="E86">
        <v>18</v>
      </c>
      <c r="F86">
        <v>94</v>
      </c>
      <c r="G86">
        <v>2.2000000000000002</v>
      </c>
      <c r="H86">
        <v>2.21</v>
      </c>
      <c r="I86">
        <v>0.22</v>
      </c>
      <c r="J86">
        <v>2.35</v>
      </c>
      <c r="K86">
        <v>3.05</v>
      </c>
      <c r="L86">
        <v>0.79</v>
      </c>
      <c r="M86">
        <v>3.08</v>
      </c>
      <c r="N86">
        <v>520</v>
      </c>
      <c r="X86">
        <f t="shared" si="6"/>
        <v>1</v>
      </c>
      <c r="Y86" cm="1">
        <f t="array" ref="Y86">MMULT(B86:N86,AI$6:AI$18)+AI$5</f>
        <v>1.0872580607839364</v>
      </c>
      <c r="Z86" t="str">
        <f t="shared" si="7"/>
        <v>V2</v>
      </c>
      <c r="AA86">
        <f t="shared" si="8"/>
        <v>0</v>
      </c>
      <c r="AB86">
        <f t="shared" si="9"/>
        <v>7.9100102875290876E-3</v>
      </c>
    </row>
    <row r="87" spans="1:28" x14ac:dyDescent="0.25">
      <c r="A87" t="s">
        <v>15</v>
      </c>
      <c r="B87">
        <v>12.67</v>
      </c>
      <c r="C87">
        <v>0.98</v>
      </c>
      <c r="D87">
        <v>2.2400000000000002</v>
      </c>
      <c r="E87">
        <v>18</v>
      </c>
      <c r="F87">
        <v>99</v>
      </c>
      <c r="G87">
        <v>2.2000000000000002</v>
      </c>
      <c r="H87">
        <v>1.94</v>
      </c>
      <c r="I87">
        <v>0.3</v>
      </c>
      <c r="J87">
        <v>1.46</v>
      </c>
      <c r="K87">
        <v>2.62</v>
      </c>
      <c r="L87">
        <v>1.23</v>
      </c>
      <c r="M87">
        <v>3.16</v>
      </c>
      <c r="N87">
        <v>450</v>
      </c>
      <c r="X87">
        <f t="shared" si="6"/>
        <v>1</v>
      </c>
      <c r="Y87" cm="1">
        <f t="array" ref="Y87">MMULT(B87:N87,AI$6:AI$18)+AI$5</f>
        <v>1.0068010604204392</v>
      </c>
      <c r="Z87" t="str">
        <f t="shared" si="7"/>
        <v>V2</v>
      </c>
      <c r="AA87">
        <f t="shared" si="8"/>
        <v>0</v>
      </c>
      <c r="AB87">
        <f t="shared" si="9"/>
        <v>2.8694746987802069E-2</v>
      </c>
    </row>
    <row r="88" spans="1:28" x14ac:dyDescent="0.25">
      <c r="A88" t="s">
        <v>15</v>
      </c>
      <c r="B88">
        <v>12.16</v>
      </c>
      <c r="C88">
        <v>1.61</v>
      </c>
      <c r="D88">
        <v>2.31</v>
      </c>
      <c r="E88">
        <v>22.8</v>
      </c>
      <c r="F88">
        <v>90</v>
      </c>
      <c r="G88">
        <v>1.78</v>
      </c>
      <c r="H88">
        <v>1.69</v>
      </c>
      <c r="I88">
        <v>0.43</v>
      </c>
      <c r="J88">
        <v>1.56</v>
      </c>
      <c r="K88">
        <v>2.4500000000000002</v>
      </c>
      <c r="L88">
        <v>1.33</v>
      </c>
      <c r="M88">
        <v>2.2599999999999998</v>
      </c>
      <c r="N88">
        <v>495</v>
      </c>
      <c r="X88">
        <f t="shared" si="6"/>
        <v>1</v>
      </c>
      <c r="Y88" cm="1">
        <f t="array" ref="Y88">MMULT(B88:N88,AI$6:AI$18)+AI$5</f>
        <v>1.3173834501640997</v>
      </c>
      <c r="Z88" t="str">
        <f t="shared" si="7"/>
        <v>V2</v>
      </c>
      <c r="AA88">
        <f t="shared" si="8"/>
        <v>0</v>
      </c>
      <c r="AB88">
        <f t="shared" si="9"/>
        <v>1.993381154183518E-2</v>
      </c>
    </row>
    <row r="89" spans="1:28" x14ac:dyDescent="0.25">
      <c r="A89" t="s">
        <v>15</v>
      </c>
      <c r="B89">
        <v>11.65</v>
      </c>
      <c r="C89">
        <v>1.67</v>
      </c>
      <c r="D89">
        <v>2.62</v>
      </c>
      <c r="E89">
        <v>26</v>
      </c>
      <c r="F89">
        <v>88</v>
      </c>
      <c r="G89">
        <v>1.92</v>
      </c>
      <c r="H89">
        <v>1.61</v>
      </c>
      <c r="I89">
        <v>0.4</v>
      </c>
      <c r="J89">
        <v>1.34</v>
      </c>
      <c r="K89">
        <v>2.6</v>
      </c>
      <c r="L89">
        <v>1.36</v>
      </c>
      <c r="M89">
        <v>3.21</v>
      </c>
      <c r="N89">
        <v>562</v>
      </c>
      <c r="X89">
        <f t="shared" si="6"/>
        <v>1</v>
      </c>
      <c r="Y89" cm="1">
        <f t="array" ref="Y89">MMULT(B89:N89,AI$6:AI$18)+AI$5</f>
        <v>1.2455261686618568</v>
      </c>
      <c r="Z89" t="str">
        <f t="shared" si="7"/>
        <v>V2</v>
      </c>
      <c r="AA89">
        <f t="shared" si="8"/>
        <v>0</v>
      </c>
      <c r="AB89">
        <f t="shared" si="9"/>
        <v>4.8066307723329278E-3</v>
      </c>
    </row>
    <row r="90" spans="1:28" x14ac:dyDescent="0.25">
      <c r="A90" t="s">
        <v>15</v>
      </c>
      <c r="B90">
        <v>11.64</v>
      </c>
      <c r="C90">
        <v>2.06</v>
      </c>
      <c r="D90">
        <v>2.46</v>
      </c>
      <c r="E90">
        <v>21.6</v>
      </c>
      <c r="F90">
        <v>84</v>
      </c>
      <c r="G90">
        <v>1.95</v>
      </c>
      <c r="H90">
        <v>1.69</v>
      </c>
      <c r="I90">
        <v>0.48</v>
      </c>
      <c r="J90">
        <v>1.35</v>
      </c>
      <c r="K90">
        <v>2.8</v>
      </c>
      <c r="L90">
        <v>1</v>
      </c>
      <c r="M90">
        <v>2.75</v>
      </c>
      <c r="N90">
        <v>680</v>
      </c>
      <c r="X90">
        <f t="shared" si="6"/>
        <v>1</v>
      </c>
      <c r="Y90" cm="1">
        <f t="array" ref="Y90">MMULT(B90:N90,AI$6:AI$18)+AI$5</f>
        <v>1.2210509372982083</v>
      </c>
      <c r="Z90" t="str">
        <f t="shared" si="7"/>
        <v>V2</v>
      </c>
      <c r="AA90">
        <f t="shared" si="8"/>
        <v>0</v>
      </c>
      <c r="AB90">
        <f t="shared" si="9"/>
        <v>2.0119385412813748E-3</v>
      </c>
    </row>
    <row r="91" spans="1:28" x14ac:dyDescent="0.25">
      <c r="A91" t="s">
        <v>15</v>
      </c>
      <c r="B91">
        <v>12.08</v>
      </c>
      <c r="C91">
        <v>1.33</v>
      </c>
      <c r="D91">
        <v>2.2999999999999998</v>
      </c>
      <c r="E91">
        <v>23.6</v>
      </c>
      <c r="F91">
        <v>70</v>
      </c>
      <c r="G91">
        <v>2.2000000000000002</v>
      </c>
      <c r="H91">
        <v>1.59</v>
      </c>
      <c r="I91">
        <v>0.42</v>
      </c>
      <c r="J91">
        <v>1.38</v>
      </c>
      <c r="K91">
        <v>1.74</v>
      </c>
      <c r="L91">
        <v>1.07</v>
      </c>
      <c r="M91">
        <v>3.21</v>
      </c>
      <c r="N91">
        <v>625</v>
      </c>
      <c r="X91">
        <f t="shared" si="6"/>
        <v>1</v>
      </c>
      <c r="Y91" cm="1">
        <f t="array" ref="Y91">MMULT(B91:N91,AI$6:AI$18)+AI$5</f>
        <v>1.158833477966466</v>
      </c>
      <c r="Z91" t="str">
        <f t="shared" si="7"/>
        <v>V2</v>
      </c>
      <c r="AA91">
        <f t="shared" si="8"/>
        <v>0</v>
      </c>
      <c r="AB91">
        <f t="shared" si="9"/>
        <v>3.0146756801589293E-4</v>
      </c>
    </row>
    <row r="92" spans="1:28" x14ac:dyDescent="0.25">
      <c r="A92" t="s">
        <v>15</v>
      </c>
      <c r="B92">
        <v>12.08</v>
      </c>
      <c r="C92">
        <v>1.83</v>
      </c>
      <c r="D92">
        <v>2.3199999999999998</v>
      </c>
      <c r="E92">
        <v>18.5</v>
      </c>
      <c r="F92">
        <v>81</v>
      </c>
      <c r="G92">
        <v>1.6</v>
      </c>
      <c r="H92">
        <v>1.5</v>
      </c>
      <c r="I92">
        <v>0.52</v>
      </c>
      <c r="J92">
        <v>1.64</v>
      </c>
      <c r="K92">
        <v>2.4</v>
      </c>
      <c r="L92">
        <v>1.08</v>
      </c>
      <c r="M92">
        <v>2.27</v>
      </c>
      <c r="N92">
        <v>480</v>
      </c>
      <c r="X92">
        <f t="shared" si="6"/>
        <v>1</v>
      </c>
      <c r="Y92" cm="1">
        <f t="array" ref="Y92">MMULT(B92:N92,AI$6:AI$18)+AI$5</f>
        <v>1.2752587960389792</v>
      </c>
      <c r="Z92" t="str">
        <f t="shared" si="7"/>
        <v>V2</v>
      </c>
      <c r="AA92">
        <f t="shared" si="8"/>
        <v>0</v>
      </c>
      <c r="AB92">
        <f t="shared" si="9"/>
        <v>9.8133782410147041E-3</v>
      </c>
    </row>
    <row r="93" spans="1:28" x14ac:dyDescent="0.25">
      <c r="A93" t="s">
        <v>15</v>
      </c>
      <c r="B93">
        <v>12</v>
      </c>
      <c r="C93">
        <v>1.51</v>
      </c>
      <c r="D93">
        <v>2.42</v>
      </c>
      <c r="E93">
        <v>22</v>
      </c>
      <c r="F93">
        <v>86</v>
      </c>
      <c r="G93">
        <v>1.45</v>
      </c>
      <c r="H93">
        <v>1.25</v>
      </c>
      <c r="I93">
        <v>0.5</v>
      </c>
      <c r="J93">
        <v>1.63</v>
      </c>
      <c r="K93">
        <v>3.6</v>
      </c>
      <c r="L93">
        <v>1.05</v>
      </c>
      <c r="M93">
        <v>2.65</v>
      </c>
      <c r="N93">
        <v>450</v>
      </c>
      <c r="X93">
        <f t="shared" si="6"/>
        <v>1</v>
      </c>
      <c r="Y93" cm="1">
        <f t="array" ref="Y93">MMULT(B93:N93,AI$6:AI$18)+AI$5</f>
        <v>1.438200390299609</v>
      </c>
      <c r="Z93" t="str">
        <f t="shared" si="7"/>
        <v>V2</v>
      </c>
      <c r="AA93">
        <f t="shared" si="8"/>
        <v>0</v>
      </c>
      <c r="AB93">
        <f t="shared" si="9"/>
        <v>6.8646143649894534E-2</v>
      </c>
    </row>
    <row r="94" spans="1:28" x14ac:dyDescent="0.25">
      <c r="A94" t="s">
        <v>15</v>
      </c>
      <c r="B94">
        <v>12.69</v>
      </c>
      <c r="C94">
        <v>1.53</v>
      </c>
      <c r="D94">
        <v>2.2599999999999998</v>
      </c>
      <c r="E94">
        <v>20.7</v>
      </c>
      <c r="F94">
        <v>80</v>
      </c>
      <c r="G94">
        <v>1.38</v>
      </c>
      <c r="H94">
        <v>1.46</v>
      </c>
      <c r="I94">
        <v>0.57999999999999996</v>
      </c>
      <c r="J94">
        <v>1.62</v>
      </c>
      <c r="K94">
        <v>3.05</v>
      </c>
      <c r="L94">
        <v>0.96</v>
      </c>
      <c r="M94">
        <v>2.06</v>
      </c>
      <c r="N94">
        <v>495</v>
      </c>
      <c r="X94">
        <f t="shared" si="6"/>
        <v>1</v>
      </c>
      <c r="Y94" cm="1">
        <f t="array" ref="Y94">MMULT(B94:N94,AI$6:AI$18)+AI$5</f>
        <v>1.3560989536937322</v>
      </c>
      <c r="Z94" t="str">
        <f t="shared" si="7"/>
        <v>V2</v>
      </c>
      <c r="AA94">
        <f t="shared" si="8"/>
        <v>0</v>
      </c>
      <c r="AB94">
        <f t="shared" si="9"/>
        <v>3.2364965023141339E-2</v>
      </c>
    </row>
    <row r="95" spans="1:28" x14ac:dyDescent="0.25">
      <c r="A95" t="s">
        <v>15</v>
      </c>
      <c r="B95">
        <v>12.29</v>
      </c>
      <c r="C95">
        <v>2.83</v>
      </c>
      <c r="D95">
        <v>2.2200000000000002</v>
      </c>
      <c r="E95">
        <v>18</v>
      </c>
      <c r="F95">
        <v>88</v>
      </c>
      <c r="G95">
        <v>2.4500000000000002</v>
      </c>
      <c r="H95">
        <v>2.25</v>
      </c>
      <c r="I95">
        <v>0.25</v>
      </c>
      <c r="J95">
        <v>1.99</v>
      </c>
      <c r="K95">
        <v>2.15</v>
      </c>
      <c r="L95">
        <v>1.1499999999999999</v>
      </c>
      <c r="M95">
        <v>3.3</v>
      </c>
      <c r="N95">
        <v>290</v>
      </c>
      <c r="X95">
        <f t="shared" si="6"/>
        <v>1</v>
      </c>
      <c r="Y95" cm="1">
        <f t="array" ref="Y95">MMULT(B95:N95,AI$6:AI$18)+AI$5</f>
        <v>1.0808269902516265</v>
      </c>
      <c r="Z95" t="str">
        <f t="shared" si="7"/>
        <v>V2</v>
      </c>
      <c r="AA95">
        <f t="shared" si="8"/>
        <v>0</v>
      </c>
      <c r="AB95">
        <f t="shared" si="9"/>
        <v>9.0953051267959519E-3</v>
      </c>
    </row>
    <row r="96" spans="1:28" x14ac:dyDescent="0.25">
      <c r="A96" t="s">
        <v>15</v>
      </c>
      <c r="B96">
        <v>11.62</v>
      </c>
      <c r="C96">
        <v>1.99</v>
      </c>
      <c r="D96">
        <v>2.2799999999999998</v>
      </c>
      <c r="E96">
        <v>18</v>
      </c>
      <c r="F96">
        <v>98</v>
      </c>
      <c r="G96">
        <v>3.02</v>
      </c>
      <c r="H96">
        <v>2.2599999999999998</v>
      </c>
      <c r="I96">
        <v>0.17</v>
      </c>
      <c r="J96">
        <v>1.35</v>
      </c>
      <c r="K96">
        <v>3.25</v>
      </c>
      <c r="L96">
        <v>1.1599999999999999</v>
      </c>
      <c r="M96">
        <v>2.96</v>
      </c>
      <c r="N96">
        <v>345</v>
      </c>
      <c r="X96">
        <f t="shared" si="6"/>
        <v>1</v>
      </c>
      <c r="Y96" cm="1">
        <f t="array" ref="Y96">MMULT(B96:N96,AI$6:AI$18)+AI$5</f>
        <v>1.27386604598914</v>
      </c>
      <c r="Z96" t="str">
        <f t="shared" si="7"/>
        <v>V2</v>
      </c>
      <c r="AA96">
        <f t="shared" si="8"/>
        <v>0</v>
      </c>
      <c r="AB96">
        <f t="shared" si="9"/>
        <v>9.5393793994443896E-3</v>
      </c>
    </row>
    <row r="97" spans="1:28" x14ac:dyDescent="0.25">
      <c r="A97" t="s">
        <v>15</v>
      </c>
      <c r="B97">
        <v>12.47</v>
      </c>
      <c r="C97">
        <v>1.52</v>
      </c>
      <c r="D97">
        <v>2.2000000000000002</v>
      </c>
      <c r="E97">
        <v>19</v>
      </c>
      <c r="F97">
        <v>162</v>
      </c>
      <c r="G97">
        <v>2.5</v>
      </c>
      <c r="H97">
        <v>2.27</v>
      </c>
      <c r="I97">
        <v>0.32</v>
      </c>
      <c r="J97">
        <v>3.28</v>
      </c>
      <c r="K97">
        <v>2.6</v>
      </c>
      <c r="L97">
        <v>1.1599999999999999</v>
      </c>
      <c r="M97">
        <v>2.63</v>
      </c>
      <c r="N97">
        <v>937</v>
      </c>
      <c r="X97">
        <f t="shared" si="6"/>
        <v>1</v>
      </c>
      <c r="Y97" cm="1">
        <f t="array" ref="Y97">MMULT(B97:N97,AI$6:AI$18)+AI$5</f>
        <v>0.90542183920284702</v>
      </c>
      <c r="Z97" t="str">
        <f t="shared" si="7"/>
        <v>V1</v>
      </c>
      <c r="AA97">
        <f t="shared" si="8"/>
        <v>1</v>
      </c>
      <c r="AB97">
        <f t="shared" si="9"/>
        <v>7.3318808293236573E-2</v>
      </c>
    </row>
    <row r="98" spans="1:28" x14ac:dyDescent="0.25">
      <c r="A98" t="s">
        <v>15</v>
      </c>
      <c r="B98">
        <v>11.81</v>
      </c>
      <c r="C98">
        <v>2.12</v>
      </c>
      <c r="D98">
        <v>2.74</v>
      </c>
      <c r="E98">
        <v>21.5</v>
      </c>
      <c r="F98">
        <v>134</v>
      </c>
      <c r="G98">
        <v>1.6</v>
      </c>
      <c r="H98">
        <v>0.99</v>
      </c>
      <c r="I98">
        <v>0.14000000000000001</v>
      </c>
      <c r="J98">
        <v>1.56</v>
      </c>
      <c r="K98">
        <v>2.5</v>
      </c>
      <c r="L98">
        <v>0.95</v>
      </c>
      <c r="M98">
        <v>2.2599999999999998</v>
      </c>
      <c r="N98">
        <v>625</v>
      </c>
      <c r="X98">
        <f t="shared" si="6"/>
        <v>1</v>
      </c>
      <c r="Y98" cm="1">
        <f t="array" ref="Y98">MMULT(B98:N98,AI$6:AI$18)+AI$5</f>
        <v>1.5636524363586006</v>
      </c>
      <c r="Z98" t="str">
        <f t="shared" si="7"/>
        <v>V3</v>
      </c>
      <c r="AA98">
        <f t="shared" si="8"/>
        <v>1</v>
      </c>
      <c r="AB98">
        <f t="shared" si="9"/>
        <v>0.15012225806949045</v>
      </c>
    </row>
    <row r="99" spans="1:28" x14ac:dyDescent="0.25">
      <c r="A99" t="s">
        <v>15</v>
      </c>
      <c r="B99">
        <v>12.29</v>
      </c>
      <c r="C99">
        <v>1.41</v>
      </c>
      <c r="D99">
        <v>1.98</v>
      </c>
      <c r="E99">
        <v>16</v>
      </c>
      <c r="F99">
        <v>85</v>
      </c>
      <c r="G99">
        <v>2.5499999999999998</v>
      </c>
      <c r="H99">
        <v>2.5</v>
      </c>
      <c r="I99">
        <v>0.28999999999999998</v>
      </c>
      <c r="J99">
        <v>1.77</v>
      </c>
      <c r="K99">
        <v>2.9</v>
      </c>
      <c r="L99">
        <v>1.23</v>
      </c>
      <c r="M99">
        <v>2.74</v>
      </c>
      <c r="N99">
        <v>428</v>
      </c>
      <c r="X99">
        <f t="shared" si="6"/>
        <v>1</v>
      </c>
      <c r="Y99" cm="1">
        <f t="array" ref="Y99">MMULT(B99:N99,AI$6:AI$18)+AI$5</f>
        <v>1.0034035979815081</v>
      </c>
      <c r="Z99" t="str">
        <f t="shared" si="7"/>
        <v>V2</v>
      </c>
      <c r="AA99">
        <f t="shared" si="8"/>
        <v>0</v>
      </c>
      <c r="AB99">
        <f t="shared" si="9"/>
        <v>2.9857317662336746E-2</v>
      </c>
    </row>
    <row r="100" spans="1:28" x14ac:dyDescent="0.25">
      <c r="A100" t="s">
        <v>15</v>
      </c>
      <c r="B100">
        <v>12.37</v>
      </c>
      <c r="C100">
        <v>1.07</v>
      </c>
      <c r="D100">
        <v>2.1</v>
      </c>
      <c r="E100">
        <v>18.5</v>
      </c>
      <c r="F100">
        <v>88</v>
      </c>
      <c r="G100">
        <v>3.52</v>
      </c>
      <c r="H100">
        <v>3.75</v>
      </c>
      <c r="I100">
        <v>0.24</v>
      </c>
      <c r="J100">
        <v>1.95</v>
      </c>
      <c r="K100">
        <v>4.5</v>
      </c>
      <c r="L100">
        <v>1.04</v>
      </c>
      <c r="M100">
        <v>2.77</v>
      </c>
      <c r="N100">
        <v>660</v>
      </c>
      <c r="X100">
        <f t="shared" si="6"/>
        <v>1</v>
      </c>
      <c r="Y100" cm="1">
        <f t="array" ref="Y100">MMULT(B100:N100,AI$6:AI$18)+AI$5</f>
        <v>0.8196677879794958</v>
      </c>
      <c r="Z100" t="str">
        <f t="shared" si="7"/>
        <v>V1</v>
      </c>
      <c r="AA100">
        <f t="shared" si="8"/>
        <v>1</v>
      </c>
      <c r="AB100">
        <f t="shared" si="9"/>
        <v>0.12711257945332025</v>
      </c>
    </row>
    <row r="101" spans="1:28" x14ac:dyDescent="0.25">
      <c r="A101" t="s">
        <v>15</v>
      </c>
      <c r="B101">
        <v>12.29</v>
      </c>
      <c r="C101">
        <v>3.17</v>
      </c>
      <c r="D101">
        <v>2.21</v>
      </c>
      <c r="E101">
        <v>18</v>
      </c>
      <c r="F101">
        <v>88</v>
      </c>
      <c r="G101">
        <v>2.85</v>
      </c>
      <c r="H101">
        <v>2.99</v>
      </c>
      <c r="I101">
        <v>0.45</v>
      </c>
      <c r="J101">
        <v>2.81</v>
      </c>
      <c r="K101">
        <v>2.2999999999999998</v>
      </c>
      <c r="L101">
        <v>1.42</v>
      </c>
      <c r="M101">
        <v>2.83</v>
      </c>
      <c r="N101">
        <v>406</v>
      </c>
      <c r="X101">
        <f t="shared" si="6"/>
        <v>1</v>
      </c>
      <c r="Y101" cm="1">
        <f t="array" ref="Y101">MMULT(B101:N101,AI$6:AI$18)+AI$5</f>
        <v>0.88565753354241505</v>
      </c>
      <c r="Z101" t="str">
        <f t="shared" si="7"/>
        <v>V1</v>
      </c>
      <c r="AA101">
        <f t="shared" si="8"/>
        <v>1</v>
      </c>
      <c r="AB101">
        <f t="shared" si="9"/>
        <v>8.4412774464092497E-2</v>
      </c>
    </row>
    <row r="102" spans="1:28" x14ac:dyDescent="0.25">
      <c r="A102" t="s">
        <v>15</v>
      </c>
      <c r="B102">
        <v>12.08</v>
      </c>
      <c r="C102">
        <v>2.08</v>
      </c>
      <c r="D102">
        <v>1.7</v>
      </c>
      <c r="E102">
        <v>17.5</v>
      </c>
      <c r="F102">
        <v>97</v>
      </c>
      <c r="G102">
        <v>2.23</v>
      </c>
      <c r="H102">
        <v>2.17</v>
      </c>
      <c r="I102">
        <v>0.26</v>
      </c>
      <c r="J102">
        <v>1.4</v>
      </c>
      <c r="K102">
        <v>3.3</v>
      </c>
      <c r="L102">
        <v>1.27</v>
      </c>
      <c r="M102">
        <v>2.96</v>
      </c>
      <c r="N102">
        <v>710</v>
      </c>
      <c r="X102">
        <f t="shared" si="6"/>
        <v>1</v>
      </c>
      <c r="Y102" cm="1">
        <f t="array" ref="Y102">MMULT(B102:N102,AI$6:AI$18)+AI$5</f>
        <v>0.99701507760730901</v>
      </c>
      <c r="Z102" t="str">
        <f t="shared" si="7"/>
        <v>V2</v>
      </c>
      <c r="AA102">
        <f t="shared" si="8"/>
        <v>0</v>
      </c>
      <c r="AB102">
        <f t="shared" si="9"/>
        <v>3.2105910241915177E-2</v>
      </c>
    </row>
    <row r="103" spans="1:28" x14ac:dyDescent="0.25">
      <c r="A103" t="s">
        <v>15</v>
      </c>
      <c r="B103">
        <v>12.6</v>
      </c>
      <c r="C103">
        <v>1.34</v>
      </c>
      <c r="D103">
        <v>1.9</v>
      </c>
      <c r="E103">
        <v>18.5</v>
      </c>
      <c r="F103">
        <v>88</v>
      </c>
      <c r="G103">
        <v>1.45</v>
      </c>
      <c r="H103">
        <v>1.36</v>
      </c>
      <c r="I103">
        <v>0.28999999999999998</v>
      </c>
      <c r="J103">
        <v>1.35</v>
      </c>
      <c r="K103">
        <v>2.4500000000000002</v>
      </c>
      <c r="L103">
        <v>1.04</v>
      </c>
      <c r="M103">
        <v>2.77</v>
      </c>
      <c r="N103">
        <v>562</v>
      </c>
      <c r="X103">
        <f t="shared" si="6"/>
        <v>1</v>
      </c>
      <c r="Y103" cm="1">
        <f t="array" ref="Y103">MMULT(B103:N103,AI$6:AI$18)+AI$5</f>
        <v>1.196117855862076</v>
      </c>
      <c r="Z103" t="str">
        <f t="shared" si="7"/>
        <v>V2</v>
      </c>
      <c r="AA103">
        <f t="shared" si="8"/>
        <v>0</v>
      </c>
      <c r="AB103">
        <f t="shared" si="9"/>
        <v>3.968684120058038E-4</v>
      </c>
    </row>
    <row r="104" spans="1:28" x14ac:dyDescent="0.25">
      <c r="A104" t="s">
        <v>15</v>
      </c>
      <c r="B104">
        <v>12.34</v>
      </c>
      <c r="C104">
        <v>2.4500000000000002</v>
      </c>
      <c r="D104">
        <v>2.46</v>
      </c>
      <c r="E104">
        <v>21</v>
      </c>
      <c r="F104">
        <v>98</v>
      </c>
      <c r="G104">
        <v>2.56</v>
      </c>
      <c r="H104">
        <v>2.11</v>
      </c>
      <c r="I104">
        <v>0.34</v>
      </c>
      <c r="J104">
        <v>1.31</v>
      </c>
      <c r="K104">
        <v>2.8</v>
      </c>
      <c r="L104">
        <v>0.8</v>
      </c>
      <c r="M104">
        <v>3.38</v>
      </c>
      <c r="N104">
        <v>438</v>
      </c>
      <c r="X104">
        <f t="shared" si="6"/>
        <v>1</v>
      </c>
      <c r="Y104" cm="1">
        <f t="array" ref="Y104">MMULT(B104:N104,AI$6:AI$18)+AI$5</f>
        <v>1.1593218764171906</v>
      </c>
      <c r="Z104" t="str">
        <f t="shared" si="7"/>
        <v>V2</v>
      </c>
      <c r="AA104">
        <f t="shared" si="8"/>
        <v>0</v>
      </c>
      <c r="AB104">
        <f t="shared" si="9"/>
        <v>2.8474615088915675E-4</v>
      </c>
    </row>
    <row r="105" spans="1:28" x14ac:dyDescent="0.25">
      <c r="A105" t="s">
        <v>15</v>
      </c>
      <c r="B105">
        <v>11.82</v>
      </c>
      <c r="C105">
        <v>1.72</v>
      </c>
      <c r="D105">
        <v>1.88</v>
      </c>
      <c r="E105">
        <v>19.5</v>
      </c>
      <c r="F105">
        <v>86</v>
      </c>
      <c r="G105">
        <v>2.5</v>
      </c>
      <c r="H105">
        <v>1.64</v>
      </c>
      <c r="I105">
        <v>0.37</v>
      </c>
      <c r="J105">
        <v>1.42</v>
      </c>
      <c r="K105">
        <v>2.06</v>
      </c>
      <c r="L105">
        <v>0.94</v>
      </c>
      <c r="M105">
        <v>2.44</v>
      </c>
      <c r="N105">
        <v>415</v>
      </c>
      <c r="X105">
        <f t="shared" si="6"/>
        <v>1</v>
      </c>
      <c r="Y105" cm="1">
        <f t="array" ref="Y105">MMULT(B105:N105,AI$6:AI$18)+AI$5</f>
        <v>1.4202991365641651</v>
      </c>
      <c r="Z105" t="str">
        <f t="shared" si="7"/>
        <v>V2</v>
      </c>
      <c r="AA105">
        <f t="shared" si="8"/>
        <v>0</v>
      </c>
      <c r="AB105">
        <f t="shared" si="9"/>
        <v>5.9586195113238316E-2</v>
      </c>
    </row>
    <row r="106" spans="1:28" x14ac:dyDescent="0.25">
      <c r="A106" t="s">
        <v>15</v>
      </c>
      <c r="B106">
        <v>12.51</v>
      </c>
      <c r="C106">
        <v>1.73</v>
      </c>
      <c r="D106">
        <v>1.98</v>
      </c>
      <c r="E106">
        <v>20.5</v>
      </c>
      <c r="F106">
        <v>85</v>
      </c>
      <c r="G106">
        <v>2.2000000000000002</v>
      </c>
      <c r="H106">
        <v>1.92</v>
      </c>
      <c r="I106">
        <v>0.32</v>
      </c>
      <c r="J106">
        <v>1.48</v>
      </c>
      <c r="K106">
        <v>2.94</v>
      </c>
      <c r="L106">
        <v>1.04</v>
      </c>
      <c r="M106">
        <v>3.57</v>
      </c>
      <c r="N106">
        <v>672</v>
      </c>
      <c r="X106">
        <f t="shared" si="6"/>
        <v>1</v>
      </c>
      <c r="Y106" cm="1">
        <f t="array" ref="Y106">MMULT(B106:N106,AI$6:AI$18)+AI$5</f>
        <v>0.99093996806115658</v>
      </c>
      <c r="Z106" t="str">
        <f t="shared" si="7"/>
        <v>V2</v>
      </c>
      <c r="AA106">
        <f t="shared" si="8"/>
        <v>0</v>
      </c>
      <c r="AB106">
        <f t="shared" si="9"/>
        <v>3.4319908299880089E-2</v>
      </c>
    </row>
    <row r="107" spans="1:28" x14ac:dyDescent="0.25">
      <c r="A107" t="s">
        <v>15</v>
      </c>
      <c r="B107">
        <v>12.42</v>
      </c>
      <c r="C107">
        <v>2.5499999999999998</v>
      </c>
      <c r="D107">
        <v>2.27</v>
      </c>
      <c r="E107">
        <v>22</v>
      </c>
      <c r="F107">
        <v>90</v>
      </c>
      <c r="G107">
        <v>1.68</v>
      </c>
      <c r="H107">
        <v>1.84</v>
      </c>
      <c r="I107">
        <v>0.66</v>
      </c>
      <c r="J107">
        <v>1.42</v>
      </c>
      <c r="K107">
        <v>2.7</v>
      </c>
      <c r="L107">
        <v>0.86</v>
      </c>
      <c r="M107">
        <v>3.3</v>
      </c>
      <c r="N107">
        <v>315</v>
      </c>
      <c r="X107">
        <f t="shared" si="6"/>
        <v>1</v>
      </c>
      <c r="Y107" cm="1">
        <f t="array" ref="Y107">MMULT(B107:N107,AI$6:AI$18)+AI$5</f>
        <v>1.1475814360298462</v>
      </c>
      <c r="Z107" t="str">
        <f t="shared" si="7"/>
        <v>V2</v>
      </c>
      <c r="AA107">
        <f t="shared" si="8"/>
        <v>0</v>
      </c>
      <c r="AB107">
        <f t="shared" si="9"/>
        <v>8.1881040549991924E-4</v>
      </c>
    </row>
    <row r="108" spans="1:28" x14ac:dyDescent="0.25">
      <c r="A108" t="s">
        <v>15</v>
      </c>
      <c r="B108">
        <v>12.25</v>
      </c>
      <c r="C108">
        <v>1.73</v>
      </c>
      <c r="D108">
        <v>2.12</v>
      </c>
      <c r="E108">
        <v>19</v>
      </c>
      <c r="F108">
        <v>80</v>
      </c>
      <c r="G108">
        <v>1.65</v>
      </c>
      <c r="H108">
        <v>2.0299999999999998</v>
      </c>
      <c r="I108">
        <v>0.37</v>
      </c>
      <c r="J108">
        <v>1.63</v>
      </c>
      <c r="K108">
        <v>3.4</v>
      </c>
      <c r="L108">
        <v>1</v>
      </c>
      <c r="M108">
        <v>3.17</v>
      </c>
      <c r="N108">
        <v>510</v>
      </c>
      <c r="X108">
        <f t="shared" si="6"/>
        <v>1</v>
      </c>
      <c r="Y108" cm="1">
        <f t="array" ref="Y108">MMULT(B108:N108,AI$6:AI$18)+AI$5</f>
        <v>1.0517292492464905</v>
      </c>
      <c r="Z108" t="str">
        <f t="shared" si="7"/>
        <v>V2</v>
      </c>
      <c r="AA108">
        <f t="shared" si="8"/>
        <v>0</v>
      </c>
      <c r="AB108">
        <f t="shared" si="9"/>
        <v>1.5492046573078276E-2</v>
      </c>
    </row>
    <row r="109" spans="1:28" x14ac:dyDescent="0.25">
      <c r="A109" t="s">
        <v>15</v>
      </c>
      <c r="B109">
        <v>12.72</v>
      </c>
      <c r="C109">
        <v>1.75</v>
      </c>
      <c r="D109">
        <v>2.2799999999999998</v>
      </c>
      <c r="E109">
        <v>22.5</v>
      </c>
      <c r="F109">
        <v>84</v>
      </c>
      <c r="G109">
        <v>1.38</v>
      </c>
      <c r="H109">
        <v>1.76</v>
      </c>
      <c r="I109">
        <v>0.48</v>
      </c>
      <c r="J109">
        <v>1.63</v>
      </c>
      <c r="K109">
        <v>3.3</v>
      </c>
      <c r="L109">
        <v>0.88</v>
      </c>
      <c r="M109">
        <v>2.42</v>
      </c>
      <c r="N109">
        <v>488</v>
      </c>
      <c r="X109">
        <f t="shared" si="6"/>
        <v>1</v>
      </c>
      <c r="Y109" cm="1">
        <f t="array" ref="Y109">MMULT(B109:N109,AI$6:AI$18)+AI$5</f>
        <v>1.3026475503964703</v>
      </c>
      <c r="Z109" t="str">
        <f t="shared" si="7"/>
        <v>V2</v>
      </c>
      <c r="AA109">
        <f t="shared" si="8"/>
        <v>0</v>
      </c>
      <c r="AB109">
        <f t="shared" si="9"/>
        <v>1.5989918879423668E-2</v>
      </c>
    </row>
    <row r="110" spans="1:28" x14ac:dyDescent="0.25">
      <c r="A110" t="s">
        <v>15</v>
      </c>
      <c r="B110">
        <v>12.22</v>
      </c>
      <c r="C110">
        <v>1.29</v>
      </c>
      <c r="D110">
        <v>1.94</v>
      </c>
      <c r="E110">
        <v>19</v>
      </c>
      <c r="F110">
        <v>92</v>
      </c>
      <c r="G110">
        <v>2.36</v>
      </c>
      <c r="H110">
        <v>2.04</v>
      </c>
      <c r="I110">
        <v>0.39</v>
      </c>
      <c r="J110">
        <v>2.08</v>
      </c>
      <c r="K110">
        <v>2.7</v>
      </c>
      <c r="L110">
        <v>0.86</v>
      </c>
      <c r="M110">
        <v>3.02</v>
      </c>
      <c r="N110">
        <v>312</v>
      </c>
      <c r="X110">
        <f t="shared" si="6"/>
        <v>1</v>
      </c>
      <c r="Y110" cm="1">
        <f t="array" ref="Y110">MMULT(B110:N110,AI$6:AI$18)+AI$5</f>
        <v>1.2179143274537625</v>
      </c>
      <c r="Z110" t="str">
        <f t="shared" si="7"/>
        <v>V2</v>
      </c>
      <c r="AA110">
        <f t="shared" si="8"/>
        <v>0</v>
      </c>
      <c r="AB110">
        <f t="shared" si="9"/>
        <v>1.7403938649753828E-3</v>
      </c>
    </row>
    <row r="111" spans="1:28" x14ac:dyDescent="0.25">
      <c r="A111" t="s">
        <v>15</v>
      </c>
      <c r="B111">
        <v>11.61</v>
      </c>
      <c r="C111">
        <v>1.35</v>
      </c>
      <c r="D111">
        <v>2.7</v>
      </c>
      <c r="E111">
        <v>20</v>
      </c>
      <c r="F111">
        <v>94</v>
      </c>
      <c r="G111">
        <v>2.74</v>
      </c>
      <c r="H111">
        <v>2.92</v>
      </c>
      <c r="I111">
        <v>0.28999999999999998</v>
      </c>
      <c r="J111">
        <v>2.4900000000000002</v>
      </c>
      <c r="K111">
        <v>2.65</v>
      </c>
      <c r="L111">
        <v>0.96</v>
      </c>
      <c r="M111">
        <v>3.26</v>
      </c>
      <c r="N111">
        <v>680</v>
      </c>
      <c r="X111">
        <f t="shared" si="6"/>
        <v>1</v>
      </c>
      <c r="Y111" cm="1">
        <f t="array" ref="Y111">MMULT(B111:N111,AI$6:AI$18)+AI$5</f>
        <v>0.83047374699924381</v>
      </c>
      <c r="Z111" t="str">
        <f t="shared" si="7"/>
        <v>V1</v>
      </c>
      <c r="AA111">
        <f t="shared" si="8"/>
        <v>1</v>
      </c>
      <c r="AB111">
        <f t="shared" si="9"/>
        <v>0.11952408323616602</v>
      </c>
    </row>
    <row r="112" spans="1:28" x14ac:dyDescent="0.25">
      <c r="A112" t="s">
        <v>15</v>
      </c>
      <c r="B112">
        <v>11.46</v>
      </c>
      <c r="C112">
        <v>3.74</v>
      </c>
      <c r="D112">
        <v>1.82</v>
      </c>
      <c r="E112">
        <v>19.5</v>
      </c>
      <c r="F112">
        <v>107</v>
      </c>
      <c r="G112">
        <v>3.18</v>
      </c>
      <c r="H112">
        <v>2.58</v>
      </c>
      <c r="I112">
        <v>0.24</v>
      </c>
      <c r="J112">
        <v>3.58</v>
      </c>
      <c r="K112">
        <v>2.9</v>
      </c>
      <c r="L112">
        <v>0.75</v>
      </c>
      <c r="M112">
        <v>2.81</v>
      </c>
      <c r="N112">
        <v>562</v>
      </c>
      <c r="X112">
        <f t="shared" si="6"/>
        <v>1</v>
      </c>
      <c r="Y112" cm="1">
        <f t="array" ref="Y112">MMULT(B112:N112,AI$6:AI$18)+AI$5</f>
        <v>1.3201003583307331</v>
      </c>
      <c r="Z112" t="str">
        <f t="shared" si="7"/>
        <v>V2</v>
      </c>
      <c r="AA112">
        <f t="shared" si="8"/>
        <v>0</v>
      </c>
      <c r="AB112">
        <f t="shared" si="9"/>
        <v>2.0708378177708757E-2</v>
      </c>
    </row>
    <row r="113" spans="1:28" x14ac:dyDescent="0.25">
      <c r="A113" t="s">
        <v>15</v>
      </c>
      <c r="B113">
        <v>12.52</v>
      </c>
      <c r="C113">
        <v>2.4300000000000002</v>
      </c>
      <c r="D113">
        <v>2.17</v>
      </c>
      <c r="E113">
        <v>21</v>
      </c>
      <c r="F113">
        <v>88</v>
      </c>
      <c r="G113">
        <v>2.5499999999999998</v>
      </c>
      <c r="H113">
        <v>2.27</v>
      </c>
      <c r="I113">
        <v>0.26</v>
      </c>
      <c r="J113">
        <v>1.22</v>
      </c>
      <c r="K113">
        <v>2</v>
      </c>
      <c r="L113">
        <v>0.9</v>
      </c>
      <c r="M113">
        <v>2.78</v>
      </c>
      <c r="N113">
        <v>325</v>
      </c>
      <c r="X113">
        <f t="shared" si="6"/>
        <v>1</v>
      </c>
      <c r="Y113" cm="1">
        <f t="array" ref="Y113">MMULT(B113:N113,AI$6:AI$18)+AI$5</f>
        <v>1.2410854226110675</v>
      </c>
      <c r="Z113" t="str">
        <f t="shared" si="7"/>
        <v>V2</v>
      </c>
      <c r="AA113">
        <f t="shared" si="8"/>
        <v>0</v>
      </c>
      <c r="AB113">
        <f t="shared" si="9"/>
        <v>4.2105983115379641E-3</v>
      </c>
    </row>
    <row r="114" spans="1:28" x14ac:dyDescent="0.25">
      <c r="A114" t="s">
        <v>15</v>
      </c>
      <c r="B114">
        <v>11.76</v>
      </c>
      <c r="C114">
        <v>2.68</v>
      </c>
      <c r="D114">
        <v>2.92</v>
      </c>
      <c r="E114">
        <v>20</v>
      </c>
      <c r="F114">
        <v>103</v>
      </c>
      <c r="G114">
        <v>1.75</v>
      </c>
      <c r="H114">
        <v>2.0299999999999998</v>
      </c>
      <c r="I114">
        <v>0.6</v>
      </c>
      <c r="J114">
        <v>1.05</v>
      </c>
      <c r="K114">
        <v>3.8</v>
      </c>
      <c r="L114">
        <v>1.23</v>
      </c>
      <c r="M114">
        <v>2.5</v>
      </c>
      <c r="N114">
        <v>607</v>
      </c>
      <c r="X114">
        <f t="shared" si="6"/>
        <v>1</v>
      </c>
      <c r="Y114" cm="1">
        <f t="array" ref="Y114">MMULT(B114:N114,AI$6:AI$18)+AI$5</f>
        <v>1.1133325845547839</v>
      </c>
      <c r="Z114" t="str">
        <f t="shared" si="7"/>
        <v>V2</v>
      </c>
      <c r="AA114">
        <f t="shared" si="8"/>
        <v>0</v>
      </c>
      <c r="AB114">
        <f t="shared" si="9"/>
        <v>3.9518466437174103E-3</v>
      </c>
    </row>
    <row r="115" spans="1:28" x14ac:dyDescent="0.25">
      <c r="A115" t="s">
        <v>15</v>
      </c>
      <c r="B115">
        <v>11.41</v>
      </c>
      <c r="C115">
        <v>0.74</v>
      </c>
      <c r="D115">
        <v>2.5</v>
      </c>
      <c r="E115">
        <v>21</v>
      </c>
      <c r="F115">
        <v>88</v>
      </c>
      <c r="G115">
        <v>2.48</v>
      </c>
      <c r="H115">
        <v>2.0099999999999998</v>
      </c>
      <c r="I115">
        <v>0.42</v>
      </c>
      <c r="J115">
        <v>1.44</v>
      </c>
      <c r="K115">
        <v>3.08</v>
      </c>
      <c r="L115">
        <v>1.1000000000000001</v>
      </c>
      <c r="M115">
        <v>2.31</v>
      </c>
      <c r="N115">
        <v>434</v>
      </c>
      <c r="X115">
        <f t="shared" si="6"/>
        <v>1</v>
      </c>
      <c r="Y115" cm="1">
        <f t="array" ref="Y115">MMULT(B115:N115,AI$6:AI$18)+AI$5</f>
        <v>1.358722996960495</v>
      </c>
      <c r="Z115" t="str">
        <f t="shared" si="7"/>
        <v>V2</v>
      </c>
      <c r="AA115">
        <f t="shared" si="8"/>
        <v>0</v>
      </c>
      <c r="AB115">
        <f t="shared" si="9"/>
        <v>3.331599532356929E-2</v>
      </c>
    </row>
    <row r="116" spans="1:28" x14ac:dyDescent="0.25">
      <c r="A116" t="s">
        <v>15</v>
      </c>
      <c r="B116">
        <v>12.08</v>
      </c>
      <c r="C116">
        <v>1.39</v>
      </c>
      <c r="D116">
        <v>2.5</v>
      </c>
      <c r="E116">
        <v>22.5</v>
      </c>
      <c r="F116">
        <v>84</v>
      </c>
      <c r="G116">
        <v>2.56</v>
      </c>
      <c r="H116">
        <v>2.29</v>
      </c>
      <c r="I116">
        <v>0.43</v>
      </c>
      <c r="J116">
        <v>1.04</v>
      </c>
      <c r="K116">
        <v>2.9</v>
      </c>
      <c r="L116">
        <v>0.93</v>
      </c>
      <c r="M116">
        <v>3.19</v>
      </c>
      <c r="N116">
        <v>385</v>
      </c>
      <c r="X116">
        <f t="shared" si="6"/>
        <v>1</v>
      </c>
      <c r="Y116" cm="1">
        <f t="array" ref="Y116">MMULT(B116:N116,AI$6:AI$18)+AI$5</f>
        <v>1.148241241049565</v>
      </c>
      <c r="Z116" t="str">
        <f t="shared" si="7"/>
        <v>V2</v>
      </c>
      <c r="AA116">
        <f t="shared" si="8"/>
        <v>0</v>
      </c>
      <c r="AB116">
        <f t="shared" si="9"/>
        <v>7.8148528718801453E-4</v>
      </c>
    </row>
    <row r="117" spans="1:28" x14ac:dyDescent="0.25">
      <c r="A117" t="s">
        <v>15</v>
      </c>
      <c r="B117">
        <v>11.03</v>
      </c>
      <c r="C117">
        <v>1.51</v>
      </c>
      <c r="D117">
        <v>2.2000000000000002</v>
      </c>
      <c r="E117">
        <v>21.5</v>
      </c>
      <c r="F117">
        <v>85</v>
      </c>
      <c r="G117">
        <v>2.46</v>
      </c>
      <c r="H117">
        <v>2.17</v>
      </c>
      <c r="I117">
        <v>0.52</v>
      </c>
      <c r="J117">
        <v>2.0099999999999998</v>
      </c>
      <c r="K117">
        <v>1.9</v>
      </c>
      <c r="L117">
        <v>1.71</v>
      </c>
      <c r="M117">
        <v>2.87</v>
      </c>
      <c r="N117">
        <v>407</v>
      </c>
      <c r="X117">
        <f t="shared" si="6"/>
        <v>1</v>
      </c>
      <c r="Y117" cm="1">
        <f t="array" ref="Y117">MMULT(B117:N117,AI$6:AI$18)+AI$5</f>
        <v>1.0907948552817954</v>
      </c>
      <c r="Z117" t="str">
        <f t="shared" si="7"/>
        <v>V2</v>
      </c>
      <c r="AA117">
        <f t="shared" si="8"/>
        <v>0</v>
      </c>
      <c r="AB117">
        <f t="shared" si="9"/>
        <v>7.2934066568998493E-3</v>
      </c>
    </row>
    <row r="118" spans="1:28" x14ac:dyDescent="0.25">
      <c r="A118" t="s">
        <v>15</v>
      </c>
      <c r="B118">
        <v>11.82</v>
      </c>
      <c r="C118">
        <v>1.47</v>
      </c>
      <c r="D118">
        <v>1.99</v>
      </c>
      <c r="E118">
        <v>20.8</v>
      </c>
      <c r="F118">
        <v>86</v>
      </c>
      <c r="G118">
        <v>1.98</v>
      </c>
      <c r="H118">
        <v>1.6</v>
      </c>
      <c r="I118">
        <v>0.3</v>
      </c>
      <c r="J118">
        <v>1.53</v>
      </c>
      <c r="K118">
        <v>1.95</v>
      </c>
      <c r="L118">
        <v>0.95</v>
      </c>
      <c r="M118">
        <v>3.33</v>
      </c>
      <c r="N118">
        <v>495</v>
      </c>
      <c r="X118">
        <f t="shared" si="6"/>
        <v>1</v>
      </c>
      <c r="Y118" cm="1">
        <f t="array" ref="Y118">MMULT(B118:N118,AI$6:AI$18)+AI$5</f>
        <v>1.1906949467134074</v>
      </c>
      <c r="Z118" t="str">
        <f t="shared" si="7"/>
        <v>V2</v>
      </c>
      <c r="AA118">
        <f t="shared" si="8"/>
        <v>0</v>
      </c>
      <c r="AB118">
        <f t="shared" si="9"/>
        <v>2.1021077401618742E-4</v>
      </c>
    </row>
    <row r="119" spans="1:28" x14ac:dyDescent="0.25">
      <c r="A119" t="s">
        <v>15</v>
      </c>
      <c r="B119">
        <v>12.42</v>
      </c>
      <c r="C119">
        <v>1.61</v>
      </c>
      <c r="D119">
        <v>2.19</v>
      </c>
      <c r="E119">
        <v>22.5</v>
      </c>
      <c r="F119">
        <v>108</v>
      </c>
      <c r="G119">
        <v>2</v>
      </c>
      <c r="H119">
        <v>2.09</v>
      </c>
      <c r="I119">
        <v>0.34</v>
      </c>
      <c r="J119">
        <v>1.61</v>
      </c>
      <c r="K119">
        <v>2.06</v>
      </c>
      <c r="L119">
        <v>1.06</v>
      </c>
      <c r="M119">
        <v>2.96</v>
      </c>
      <c r="N119">
        <v>345</v>
      </c>
      <c r="X119">
        <f t="shared" si="6"/>
        <v>1</v>
      </c>
      <c r="Y119" cm="1">
        <f t="array" ref="Y119">MMULT(B119:N119,AI$6:AI$18)+AI$5</f>
        <v>1.1632352198097737</v>
      </c>
      <c r="Z119" t="str">
        <f t="shared" si="7"/>
        <v>V2</v>
      </c>
      <c r="AA119">
        <f t="shared" si="8"/>
        <v>0</v>
      </c>
      <c r="AB119">
        <f t="shared" si="9"/>
        <v>1.6798958405691878E-4</v>
      </c>
    </row>
    <row r="120" spans="1:28" x14ac:dyDescent="0.25">
      <c r="A120" t="s">
        <v>15</v>
      </c>
      <c r="B120">
        <v>12.77</v>
      </c>
      <c r="C120">
        <v>3.43</v>
      </c>
      <c r="D120">
        <v>1.98</v>
      </c>
      <c r="E120">
        <v>16</v>
      </c>
      <c r="F120">
        <v>80</v>
      </c>
      <c r="G120">
        <v>1.63</v>
      </c>
      <c r="H120">
        <v>1.25</v>
      </c>
      <c r="I120">
        <v>0.43</v>
      </c>
      <c r="J120">
        <v>0.83</v>
      </c>
      <c r="K120">
        <v>3.4</v>
      </c>
      <c r="L120">
        <v>0.7</v>
      </c>
      <c r="M120">
        <v>2.12</v>
      </c>
      <c r="N120">
        <v>372</v>
      </c>
      <c r="X120">
        <f t="shared" si="6"/>
        <v>1</v>
      </c>
      <c r="Y120" cm="1">
        <f t="array" ref="Y120">MMULT(B120:N120,AI$6:AI$18)+AI$5</f>
        <v>1.5255161568905353</v>
      </c>
      <c r="Z120" t="str">
        <f t="shared" si="7"/>
        <v>V3</v>
      </c>
      <c r="AA120">
        <f t="shared" si="8"/>
        <v>1</v>
      </c>
      <c r="AB120">
        <f t="shared" si="9"/>
        <v>0.12202436283955972</v>
      </c>
    </row>
    <row r="121" spans="1:28" x14ac:dyDescent="0.25">
      <c r="A121" t="s">
        <v>15</v>
      </c>
      <c r="B121">
        <v>12</v>
      </c>
      <c r="C121">
        <v>3.43</v>
      </c>
      <c r="D121">
        <v>2</v>
      </c>
      <c r="E121">
        <v>19</v>
      </c>
      <c r="F121">
        <v>87</v>
      </c>
      <c r="G121">
        <v>2</v>
      </c>
      <c r="H121">
        <v>1.64</v>
      </c>
      <c r="I121">
        <v>0.37</v>
      </c>
      <c r="J121">
        <v>1.87</v>
      </c>
      <c r="K121">
        <v>1.28</v>
      </c>
      <c r="L121">
        <v>0.93</v>
      </c>
      <c r="M121">
        <v>3.05</v>
      </c>
      <c r="N121">
        <v>564</v>
      </c>
      <c r="X121">
        <f t="shared" si="6"/>
        <v>1</v>
      </c>
      <c r="Y121" cm="1">
        <f t="array" ref="Y121">MMULT(B121:N121,AI$6:AI$18)+AI$5</f>
        <v>1.1579035883092943</v>
      </c>
      <c r="Z121" t="str">
        <f t="shared" si="7"/>
        <v>V2</v>
      </c>
      <c r="AA121">
        <f t="shared" si="8"/>
        <v>0</v>
      </c>
      <c r="AB121">
        <f t="shared" si="9"/>
        <v>3.3462327892487092E-4</v>
      </c>
    </row>
    <row r="122" spans="1:28" x14ac:dyDescent="0.25">
      <c r="A122" t="s">
        <v>15</v>
      </c>
      <c r="B122">
        <v>11.45</v>
      </c>
      <c r="C122">
        <v>2.4</v>
      </c>
      <c r="D122">
        <v>2.42</v>
      </c>
      <c r="E122">
        <v>20</v>
      </c>
      <c r="F122">
        <v>96</v>
      </c>
      <c r="G122">
        <v>2.9</v>
      </c>
      <c r="H122">
        <v>2.79</v>
      </c>
      <c r="I122">
        <v>0.32</v>
      </c>
      <c r="J122">
        <v>1.83</v>
      </c>
      <c r="K122">
        <v>3.25</v>
      </c>
      <c r="L122">
        <v>0.8</v>
      </c>
      <c r="M122">
        <v>3.39</v>
      </c>
      <c r="N122">
        <v>625</v>
      </c>
      <c r="X122">
        <f t="shared" si="6"/>
        <v>1</v>
      </c>
      <c r="Y122" cm="1">
        <f t="array" ref="Y122">MMULT(B122:N122,AI$6:AI$18)+AI$5</f>
        <v>0.98325606216432293</v>
      </c>
      <c r="Z122" t="str">
        <f t="shared" si="7"/>
        <v>V2</v>
      </c>
      <c r="AA122">
        <f t="shared" si="8"/>
        <v>0</v>
      </c>
      <c r="AB122">
        <f t="shared" si="9"/>
        <v>3.7225935143260371E-2</v>
      </c>
    </row>
    <row r="123" spans="1:28" x14ac:dyDescent="0.25">
      <c r="A123" t="s">
        <v>15</v>
      </c>
      <c r="B123">
        <v>11.56</v>
      </c>
      <c r="C123">
        <v>2.0499999999999998</v>
      </c>
      <c r="D123">
        <v>3.23</v>
      </c>
      <c r="E123">
        <v>28.5</v>
      </c>
      <c r="F123">
        <v>119</v>
      </c>
      <c r="G123">
        <v>3.18</v>
      </c>
      <c r="H123">
        <v>5.08</v>
      </c>
      <c r="I123">
        <v>0.47</v>
      </c>
      <c r="J123">
        <v>1.87</v>
      </c>
      <c r="K123">
        <v>6</v>
      </c>
      <c r="L123">
        <v>0.93</v>
      </c>
      <c r="M123">
        <v>3.69</v>
      </c>
      <c r="N123">
        <v>465</v>
      </c>
      <c r="X123">
        <f t="shared" si="6"/>
        <v>1</v>
      </c>
      <c r="Y123" cm="1">
        <f t="array" ref="Y123">MMULT(B123:N123,AI$6:AI$18)+AI$5</f>
        <v>0.61519941369240838</v>
      </c>
      <c r="Z123" t="str">
        <f t="shared" si="7"/>
        <v>V1</v>
      </c>
      <c r="AA123">
        <f t="shared" si="8"/>
        <v>1</v>
      </c>
      <c r="AB123">
        <f t="shared" si="9"/>
        <v>0.3147175057698397</v>
      </c>
    </row>
    <row r="124" spans="1:28" x14ac:dyDescent="0.25">
      <c r="A124" t="s">
        <v>15</v>
      </c>
      <c r="B124">
        <v>12.42</v>
      </c>
      <c r="C124">
        <v>4.43</v>
      </c>
      <c r="D124">
        <v>2.73</v>
      </c>
      <c r="E124">
        <v>26.5</v>
      </c>
      <c r="F124">
        <v>102</v>
      </c>
      <c r="G124">
        <v>2.2000000000000002</v>
      </c>
      <c r="H124">
        <v>2.13</v>
      </c>
      <c r="I124">
        <v>0.43</v>
      </c>
      <c r="J124">
        <v>1.71</v>
      </c>
      <c r="K124">
        <v>2.08</v>
      </c>
      <c r="L124">
        <v>0.92</v>
      </c>
      <c r="M124">
        <v>3.12</v>
      </c>
      <c r="N124">
        <v>365</v>
      </c>
      <c r="X124">
        <f t="shared" si="6"/>
        <v>1</v>
      </c>
      <c r="Y124" cm="1">
        <f t="array" ref="Y124">MMULT(B124:N124,AI$6:AI$18)+AI$5</f>
        <v>1.3062626539476079</v>
      </c>
      <c r="Z124" t="str">
        <f t="shared" si="7"/>
        <v>V2</v>
      </c>
      <c r="AA124">
        <f t="shared" si="8"/>
        <v>0</v>
      </c>
      <c r="AB124">
        <f t="shared" si="9"/>
        <v>1.6917256586179714E-2</v>
      </c>
    </row>
    <row r="125" spans="1:28" x14ac:dyDescent="0.25">
      <c r="A125" t="s">
        <v>15</v>
      </c>
      <c r="B125">
        <v>13.05</v>
      </c>
      <c r="C125">
        <v>5.8</v>
      </c>
      <c r="D125">
        <v>2.13</v>
      </c>
      <c r="E125">
        <v>21.5</v>
      </c>
      <c r="F125">
        <v>86</v>
      </c>
      <c r="G125">
        <v>2.62</v>
      </c>
      <c r="H125">
        <v>2.65</v>
      </c>
      <c r="I125">
        <v>0.3</v>
      </c>
      <c r="J125">
        <v>2.0099999999999998</v>
      </c>
      <c r="K125">
        <v>2.6</v>
      </c>
      <c r="L125">
        <v>0.73</v>
      </c>
      <c r="M125">
        <v>3.1</v>
      </c>
      <c r="N125">
        <v>380</v>
      </c>
      <c r="X125">
        <f t="shared" si="6"/>
        <v>1</v>
      </c>
      <c r="Y125" cm="1">
        <f t="array" ref="Y125">MMULT(B125:N125,AI$6:AI$18)+AI$5</f>
        <v>1.2066953599305499</v>
      </c>
      <c r="Z125" t="str">
        <f t="shared" si="7"/>
        <v>V2</v>
      </c>
      <c r="AA125">
        <f t="shared" si="8"/>
        <v>0</v>
      </c>
      <c r="AB125">
        <f t="shared" si="9"/>
        <v>9.3019269345148204E-4</v>
      </c>
    </row>
    <row r="126" spans="1:28" x14ac:dyDescent="0.25">
      <c r="A126" t="s">
        <v>15</v>
      </c>
      <c r="B126">
        <v>11.87</v>
      </c>
      <c r="C126">
        <v>4.3099999999999996</v>
      </c>
      <c r="D126">
        <v>2.39</v>
      </c>
      <c r="E126">
        <v>21</v>
      </c>
      <c r="F126">
        <v>82</v>
      </c>
      <c r="G126">
        <v>2.86</v>
      </c>
      <c r="H126">
        <v>3.03</v>
      </c>
      <c r="I126">
        <v>0.21</v>
      </c>
      <c r="J126">
        <v>2.91</v>
      </c>
      <c r="K126">
        <v>2.8</v>
      </c>
      <c r="L126">
        <v>0.75</v>
      </c>
      <c r="M126">
        <v>3.64</v>
      </c>
      <c r="N126">
        <v>380</v>
      </c>
      <c r="X126">
        <f t="shared" si="6"/>
        <v>1</v>
      </c>
      <c r="Y126" cm="1">
        <f t="array" ref="Y126">MMULT(B126:N126,AI$6:AI$18)+AI$5</f>
        <v>1.0661146449305967</v>
      </c>
      <c r="Z126" t="str">
        <f t="shared" si="7"/>
        <v>V2</v>
      </c>
      <c r="AA126">
        <f t="shared" si="8"/>
        <v>0</v>
      </c>
      <c r="AB126">
        <f t="shared" si="9"/>
        <v>1.2117970649979968E-2</v>
      </c>
    </row>
    <row r="127" spans="1:28" x14ac:dyDescent="0.25">
      <c r="A127" t="s">
        <v>15</v>
      </c>
      <c r="B127">
        <v>12.07</v>
      </c>
      <c r="C127">
        <v>2.16</v>
      </c>
      <c r="D127">
        <v>2.17</v>
      </c>
      <c r="E127">
        <v>21</v>
      </c>
      <c r="F127">
        <v>85</v>
      </c>
      <c r="G127">
        <v>2.6</v>
      </c>
      <c r="H127">
        <v>2.65</v>
      </c>
      <c r="I127">
        <v>0.37</v>
      </c>
      <c r="J127">
        <v>1.35</v>
      </c>
      <c r="K127">
        <v>2.76</v>
      </c>
      <c r="L127">
        <v>0.86</v>
      </c>
      <c r="M127">
        <v>3.28</v>
      </c>
      <c r="N127">
        <v>378</v>
      </c>
      <c r="X127">
        <f t="shared" si="6"/>
        <v>1</v>
      </c>
      <c r="Y127" cm="1">
        <f t="array" ref="Y127">MMULT(B127:N127,AI$6:AI$18)+AI$5</f>
        <v>1.0548528481402197</v>
      </c>
      <c r="Z127" t="str">
        <f t="shared" si="7"/>
        <v>V2</v>
      </c>
      <c r="AA127">
        <f t="shared" si="8"/>
        <v>0</v>
      </c>
      <c r="AB127">
        <f t="shared" si="9"/>
        <v>1.4724233162817719E-2</v>
      </c>
    </row>
    <row r="128" spans="1:28" x14ac:dyDescent="0.25">
      <c r="A128" t="s">
        <v>15</v>
      </c>
      <c r="B128">
        <v>12.43</v>
      </c>
      <c r="C128">
        <v>1.53</v>
      </c>
      <c r="D128">
        <v>2.29</v>
      </c>
      <c r="E128">
        <v>21.5</v>
      </c>
      <c r="F128">
        <v>86</v>
      </c>
      <c r="G128">
        <v>2.74</v>
      </c>
      <c r="H128">
        <v>3.15</v>
      </c>
      <c r="I128">
        <v>0.39</v>
      </c>
      <c r="J128">
        <v>1.77</v>
      </c>
      <c r="K128">
        <v>3.94</v>
      </c>
      <c r="L128">
        <v>0.69</v>
      </c>
      <c r="M128">
        <v>2.84</v>
      </c>
      <c r="N128">
        <v>352</v>
      </c>
      <c r="X128">
        <f t="shared" si="6"/>
        <v>1</v>
      </c>
      <c r="Y128" cm="1">
        <f t="array" ref="Y128">MMULT(B128:N128,AI$6:AI$18)+AI$5</f>
        <v>1.0942326297727887</v>
      </c>
      <c r="Z128" t="str">
        <f t="shared" si="7"/>
        <v>V2</v>
      </c>
      <c r="AA128">
        <f t="shared" si="8"/>
        <v>0</v>
      </c>
      <c r="AB128">
        <f t="shared" si="9"/>
        <v>6.7180431382068192E-3</v>
      </c>
    </row>
    <row r="129" spans="1:28" x14ac:dyDescent="0.25">
      <c r="A129" t="s">
        <v>15</v>
      </c>
      <c r="B129">
        <v>11.79</v>
      </c>
      <c r="C129">
        <v>2.13</v>
      </c>
      <c r="D129">
        <v>2.78</v>
      </c>
      <c r="E129">
        <v>28.5</v>
      </c>
      <c r="F129">
        <v>92</v>
      </c>
      <c r="G129">
        <v>2.13</v>
      </c>
      <c r="H129">
        <v>2.2400000000000002</v>
      </c>
      <c r="I129">
        <v>0.57999999999999996</v>
      </c>
      <c r="J129">
        <v>1.76</v>
      </c>
      <c r="K129">
        <v>3</v>
      </c>
      <c r="L129">
        <v>0.97</v>
      </c>
      <c r="M129">
        <v>2.44</v>
      </c>
      <c r="N129">
        <v>466</v>
      </c>
      <c r="X129">
        <f t="shared" si="6"/>
        <v>1</v>
      </c>
      <c r="Y129" cm="1">
        <f t="array" ref="Y129">MMULT(B129:N129,AI$6:AI$18)+AI$5</f>
        <v>1.3905049499379991</v>
      </c>
      <c r="Z129" t="str">
        <f t="shared" si="7"/>
        <v>V2</v>
      </c>
      <c r="AA129">
        <f t="shared" si="8"/>
        <v>0</v>
      </c>
      <c r="AB129">
        <f t="shared" si="9"/>
        <v>4.5928197696861073E-2</v>
      </c>
    </row>
    <row r="130" spans="1:28" x14ac:dyDescent="0.25">
      <c r="A130" t="s">
        <v>15</v>
      </c>
      <c r="B130">
        <v>12.37</v>
      </c>
      <c r="C130">
        <v>1.63</v>
      </c>
      <c r="D130">
        <v>2.2999999999999998</v>
      </c>
      <c r="E130">
        <v>24.5</v>
      </c>
      <c r="F130">
        <v>88</v>
      </c>
      <c r="G130">
        <v>2.2200000000000002</v>
      </c>
      <c r="H130">
        <v>2.4500000000000002</v>
      </c>
      <c r="I130">
        <v>0.4</v>
      </c>
      <c r="J130">
        <v>1.9</v>
      </c>
      <c r="K130">
        <v>2.12</v>
      </c>
      <c r="L130">
        <v>0.89</v>
      </c>
      <c r="M130">
        <v>2.78</v>
      </c>
      <c r="N130">
        <v>342</v>
      </c>
      <c r="X130">
        <f t="shared" si="6"/>
        <v>1</v>
      </c>
      <c r="Y130" cm="1">
        <f t="array" ref="Y130">MMULT(B130:N130,AI$6:AI$18)+AI$5</f>
        <v>1.1970442728952349</v>
      </c>
      <c r="Z130" t="str">
        <f t="shared" si="7"/>
        <v>V2</v>
      </c>
      <c r="AA130">
        <f t="shared" si="8"/>
        <v>0</v>
      </c>
      <c r="AB130">
        <f t="shared" si="9"/>
        <v>4.3463799899837483E-4</v>
      </c>
    </row>
    <row r="131" spans="1:28" x14ac:dyDescent="0.25">
      <c r="A131" t="s">
        <v>15</v>
      </c>
      <c r="B131">
        <v>12.04</v>
      </c>
      <c r="C131">
        <v>4.3</v>
      </c>
      <c r="D131">
        <v>2.38</v>
      </c>
      <c r="E131">
        <v>22</v>
      </c>
      <c r="F131">
        <v>80</v>
      </c>
      <c r="G131">
        <v>2.1</v>
      </c>
      <c r="H131">
        <v>1.75</v>
      </c>
      <c r="I131">
        <v>0.42</v>
      </c>
      <c r="J131">
        <v>1.35</v>
      </c>
      <c r="K131">
        <v>2.6</v>
      </c>
      <c r="L131">
        <v>0.79</v>
      </c>
      <c r="M131">
        <v>2.57</v>
      </c>
      <c r="N131">
        <v>580</v>
      </c>
      <c r="X131">
        <f t="shared" ref="X131:X179" si="10">IF(A131=$AH$1,$AG$1,IF(A131=$AH$2,$AG$2,$AG$3))</f>
        <v>1</v>
      </c>
      <c r="Y131" cm="1">
        <f t="array" ref="Y131">MMULT(B131:N131,AI$6:AI$18)+AI$5</f>
        <v>1.4014109118750238</v>
      </c>
      <c r="Z131" t="str">
        <f t="shared" ref="Z131:Z184" si="11">IF(Y131&lt;$AI$21,AH$1,IF(Y131&lt;AI$22,AH$2,AH$3))</f>
        <v>V2</v>
      </c>
      <c r="AA131">
        <f t="shared" ref="AA131:AA179" si="12">IF(Z131=A131,0,1)</f>
        <v>0</v>
      </c>
      <c r="AB131">
        <f t="shared" ref="AB131:AB179" si="13">IF(X131=AG$1,(Y131-AG$21)^2,IF(X131=AG$2,(Y131-AG$22)^2,(Y131-AG$23)^2))</f>
        <v>5.0721621673791392E-2</v>
      </c>
    </row>
    <row r="132" spans="1:28" x14ac:dyDescent="0.25">
      <c r="A132" t="s">
        <v>16</v>
      </c>
      <c r="B132">
        <v>12.86</v>
      </c>
      <c r="C132">
        <v>1.35</v>
      </c>
      <c r="D132">
        <v>2.3199999999999998</v>
      </c>
      <c r="E132">
        <v>18</v>
      </c>
      <c r="F132">
        <v>122</v>
      </c>
      <c r="G132">
        <v>1.51</v>
      </c>
      <c r="H132">
        <v>1.25</v>
      </c>
      <c r="I132">
        <v>0.21</v>
      </c>
      <c r="J132">
        <v>0.94</v>
      </c>
      <c r="K132">
        <v>4.0999999999999996</v>
      </c>
      <c r="L132">
        <v>0.76</v>
      </c>
      <c r="M132">
        <v>1.29</v>
      </c>
      <c r="N132">
        <v>630</v>
      </c>
      <c r="X132">
        <f t="shared" si="10"/>
        <v>2</v>
      </c>
      <c r="Y132" cm="1">
        <f t="array" ref="Y132">MMULT(B132:N132,AI$6:AI$18)+AI$5</f>
        <v>1.6151890020371429</v>
      </c>
      <c r="Z132" t="str">
        <f t="shared" si="11"/>
        <v>V3</v>
      </c>
      <c r="AA132">
        <f t="shared" si="12"/>
        <v>0</v>
      </c>
      <c r="AB132">
        <f t="shared" si="13"/>
        <v>0.14660919496748026</v>
      </c>
    </row>
    <row r="133" spans="1:28" x14ac:dyDescent="0.25">
      <c r="A133" t="s">
        <v>16</v>
      </c>
      <c r="B133">
        <v>12.88</v>
      </c>
      <c r="C133">
        <v>2.99</v>
      </c>
      <c r="D133">
        <v>2.4</v>
      </c>
      <c r="E133">
        <v>20</v>
      </c>
      <c r="F133">
        <v>104</v>
      </c>
      <c r="G133">
        <v>1.3</v>
      </c>
      <c r="H133">
        <v>1.22</v>
      </c>
      <c r="I133">
        <v>0.24</v>
      </c>
      <c r="J133">
        <v>0.83</v>
      </c>
      <c r="K133">
        <v>5.4</v>
      </c>
      <c r="L133">
        <v>0.74</v>
      </c>
      <c r="M133">
        <v>1.42</v>
      </c>
      <c r="N133">
        <v>530</v>
      </c>
      <c r="X133">
        <f t="shared" si="10"/>
        <v>2</v>
      </c>
      <c r="Y133" cm="1">
        <f t="array" ref="Y133">MMULT(B133:N133,AI$6:AI$18)+AI$5</f>
        <v>1.8048198985115231</v>
      </c>
      <c r="Z133" t="str">
        <f t="shared" si="11"/>
        <v>V3</v>
      </c>
      <c r="AA133">
        <f t="shared" si="12"/>
        <v>0</v>
      </c>
      <c r="AB133">
        <f t="shared" si="13"/>
        <v>3.7351323595902992E-2</v>
      </c>
    </row>
    <row r="134" spans="1:28" x14ac:dyDescent="0.25">
      <c r="A134" t="s">
        <v>16</v>
      </c>
      <c r="B134">
        <v>12.81</v>
      </c>
      <c r="C134">
        <v>2.31</v>
      </c>
      <c r="D134">
        <v>2.4</v>
      </c>
      <c r="E134">
        <v>24</v>
      </c>
      <c r="F134">
        <v>98</v>
      </c>
      <c r="G134">
        <v>1.1499999999999999</v>
      </c>
      <c r="H134">
        <v>1.0900000000000001</v>
      </c>
      <c r="I134">
        <v>0.27</v>
      </c>
      <c r="J134">
        <v>0.83</v>
      </c>
      <c r="K134">
        <v>5.7</v>
      </c>
      <c r="L134">
        <v>0.66</v>
      </c>
      <c r="M134">
        <v>1.36</v>
      </c>
      <c r="N134">
        <v>560</v>
      </c>
      <c r="X134">
        <f t="shared" si="10"/>
        <v>2</v>
      </c>
      <c r="Y134" cm="1">
        <f t="array" ref="Y134">MMULT(B134:N134,AI$6:AI$18)+AI$5</f>
        <v>1.9395839176973824</v>
      </c>
      <c r="Z134" t="str">
        <f t="shared" si="11"/>
        <v>V3</v>
      </c>
      <c r="AA134">
        <f t="shared" si="12"/>
        <v>0</v>
      </c>
      <c r="AB134">
        <f t="shared" si="13"/>
        <v>3.4223536686584961E-3</v>
      </c>
    </row>
    <row r="135" spans="1:28" x14ac:dyDescent="0.25">
      <c r="A135" t="s">
        <v>16</v>
      </c>
      <c r="B135">
        <v>12.7</v>
      </c>
      <c r="C135">
        <v>3.55</v>
      </c>
      <c r="D135">
        <v>2.36</v>
      </c>
      <c r="E135">
        <v>21.5</v>
      </c>
      <c r="F135">
        <v>106</v>
      </c>
      <c r="G135">
        <v>1.7</v>
      </c>
      <c r="H135">
        <v>1.2</v>
      </c>
      <c r="I135">
        <v>0.17</v>
      </c>
      <c r="J135">
        <v>0.84</v>
      </c>
      <c r="K135">
        <v>5</v>
      </c>
      <c r="L135">
        <v>0.78</v>
      </c>
      <c r="M135">
        <v>1.29</v>
      </c>
      <c r="N135">
        <v>600</v>
      </c>
      <c r="X135">
        <f t="shared" si="10"/>
        <v>2</v>
      </c>
      <c r="Y135" cm="1">
        <f t="array" ref="Y135">MMULT(B135:N135,AI$6:AI$18)+AI$5</f>
        <v>1.9067485797845938</v>
      </c>
      <c r="Z135" t="str">
        <f t="shared" si="11"/>
        <v>V3</v>
      </c>
      <c r="AA135">
        <f t="shared" si="12"/>
        <v>0</v>
      </c>
      <c r="AB135">
        <f t="shared" si="13"/>
        <v>8.3423058078172276E-3</v>
      </c>
    </row>
    <row r="136" spans="1:28" x14ac:dyDescent="0.25">
      <c r="A136" t="s">
        <v>16</v>
      </c>
      <c r="B136">
        <v>12.51</v>
      </c>
      <c r="C136">
        <v>1.24</v>
      </c>
      <c r="D136">
        <v>2.25</v>
      </c>
      <c r="E136">
        <v>17.5</v>
      </c>
      <c r="F136">
        <v>85</v>
      </c>
      <c r="G136">
        <v>2</v>
      </c>
      <c r="H136">
        <v>0.57999999999999996</v>
      </c>
      <c r="I136">
        <v>0.6</v>
      </c>
      <c r="J136">
        <v>1.25</v>
      </c>
      <c r="K136">
        <v>5.45</v>
      </c>
      <c r="L136">
        <v>0.75</v>
      </c>
      <c r="M136">
        <v>1.51</v>
      </c>
      <c r="N136">
        <v>650</v>
      </c>
      <c r="X136">
        <f t="shared" si="10"/>
        <v>2</v>
      </c>
      <c r="Y136" cm="1">
        <f t="array" ref="Y136">MMULT(B136:N136,AI$6:AI$18)+AI$5</f>
        <v>1.8256068673450314</v>
      </c>
      <c r="Z136" t="str">
        <f t="shared" si="11"/>
        <v>V3</v>
      </c>
      <c r="AA136">
        <f t="shared" si="12"/>
        <v>0</v>
      </c>
      <c r="AB136">
        <f t="shared" si="13"/>
        <v>2.9748638545682445E-2</v>
      </c>
    </row>
    <row r="137" spans="1:28" x14ac:dyDescent="0.25">
      <c r="A137" t="s">
        <v>16</v>
      </c>
      <c r="B137">
        <v>12.6</v>
      </c>
      <c r="C137">
        <v>2.46</v>
      </c>
      <c r="D137">
        <v>2.2000000000000002</v>
      </c>
      <c r="E137">
        <v>18.5</v>
      </c>
      <c r="F137">
        <v>94</v>
      </c>
      <c r="G137">
        <v>1.62</v>
      </c>
      <c r="H137">
        <v>0.66</v>
      </c>
      <c r="I137">
        <v>0.63</v>
      </c>
      <c r="J137">
        <v>0.94</v>
      </c>
      <c r="K137">
        <v>7.1</v>
      </c>
      <c r="L137">
        <v>0.73</v>
      </c>
      <c r="M137">
        <v>1.58</v>
      </c>
      <c r="N137">
        <v>695</v>
      </c>
      <c r="X137">
        <f t="shared" si="10"/>
        <v>2</v>
      </c>
      <c r="Y137" cm="1">
        <f t="array" ref="Y137">MMULT(B137:N137,AI$6:AI$18)+AI$5</f>
        <v>1.8801626565838372</v>
      </c>
      <c r="Z137" t="str">
        <f t="shared" si="11"/>
        <v>V3</v>
      </c>
      <c r="AA137">
        <f t="shared" si="12"/>
        <v>0</v>
      </c>
      <c r="AB137">
        <f t="shared" si="13"/>
        <v>1.3905632791707997E-2</v>
      </c>
    </row>
    <row r="138" spans="1:28" x14ac:dyDescent="0.25">
      <c r="A138" t="s">
        <v>16</v>
      </c>
      <c r="B138">
        <v>12.25</v>
      </c>
      <c r="C138">
        <v>4.72</v>
      </c>
      <c r="D138">
        <v>2.54</v>
      </c>
      <c r="E138">
        <v>21</v>
      </c>
      <c r="F138">
        <v>89</v>
      </c>
      <c r="G138">
        <v>1.38</v>
      </c>
      <c r="H138">
        <v>0.47</v>
      </c>
      <c r="I138">
        <v>0.53</v>
      </c>
      <c r="J138">
        <v>0.8</v>
      </c>
      <c r="K138">
        <v>3.85</v>
      </c>
      <c r="L138">
        <v>0.75</v>
      </c>
      <c r="M138">
        <v>1.27</v>
      </c>
      <c r="N138">
        <v>720</v>
      </c>
      <c r="X138">
        <f t="shared" si="10"/>
        <v>2</v>
      </c>
      <c r="Y138" cm="1">
        <f t="array" ref="Y138">MMULT(B138:N138,AI$6:AI$18)+AI$5</f>
        <v>1.9199867952801726</v>
      </c>
      <c r="Z138" t="str">
        <f t="shared" si="11"/>
        <v>V3</v>
      </c>
      <c r="AA138">
        <f t="shared" si="12"/>
        <v>0</v>
      </c>
      <c r="AB138">
        <f t="shared" si="13"/>
        <v>6.0992989265756265E-3</v>
      </c>
    </row>
    <row r="139" spans="1:28" x14ac:dyDescent="0.25">
      <c r="A139" t="s">
        <v>16</v>
      </c>
      <c r="B139">
        <v>12.53</v>
      </c>
      <c r="C139">
        <v>5.51</v>
      </c>
      <c r="D139">
        <v>2.64</v>
      </c>
      <c r="E139">
        <v>25</v>
      </c>
      <c r="F139">
        <v>96</v>
      </c>
      <c r="G139">
        <v>1.79</v>
      </c>
      <c r="H139">
        <v>0.6</v>
      </c>
      <c r="I139">
        <v>0.63</v>
      </c>
      <c r="J139">
        <v>1.1000000000000001</v>
      </c>
      <c r="K139">
        <v>5</v>
      </c>
      <c r="L139">
        <v>0.82</v>
      </c>
      <c r="M139">
        <v>1.69</v>
      </c>
      <c r="N139">
        <v>515</v>
      </c>
      <c r="X139">
        <f t="shared" si="10"/>
        <v>2</v>
      </c>
      <c r="Y139" cm="1">
        <f t="array" ref="Y139">MMULT(B139:N139,AI$6:AI$18)+AI$5</f>
        <v>2.0798030534693046</v>
      </c>
      <c r="Z139" t="str">
        <f t="shared" si="11"/>
        <v>V3</v>
      </c>
      <c r="AA139">
        <f t="shared" si="12"/>
        <v>0</v>
      </c>
      <c r="AB139">
        <f t="shared" si="13"/>
        <v>6.6778723375817417E-3</v>
      </c>
    </row>
    <row r="140" spans="1:28" x14ac:dyDescent="0.25">
      <c r="A140" t="s">
        <v>16</v>
      </c>
      <c r="B140">
        <v>13.49</v>
      </c>
      <c r="C140">
        <v>3.59</v>
      </c>
      <c r="D140">
        <v>2.19</v>
      </c>
      <c r="E140">
        <v>19.5</v>
      </c>
      <c r="F140">
        <v>88</v>
      </c>
      <c r="G140">
        <v>1.62</v>
      </c>
      <c r="H140">
        <v>0.48</v>
      </c>
      <c r="I140">
        <v>0.57999999999999996</v>
      </c>
      <c r="J140">
        <v>0.88</v>
      </c>
      <c r="K140">
        <v>5.7</v>
      </c>
      <c r="L140">
        <v>0.81</v>
      </c>
      <c r="M140">
        <v>1.82</v>
      </c>
      <c r="N140">
        <v>580</v>
      </c>
      <c r="X140">
        <f t="shared" si="10"/>
        <v>2</v>
      </c>
      <c r="Y140" cm="1">
        <f t="array" ref="Y140">MMULT(B140:N140,AI$6:AI$18)+AI$5</f>
        <v>1.8539826642752855</v>
      </c>
      <c r="Z140" t="str">
        <f t="shared" si="11"/>
        <v>V3</v>
      </c>
      <c r="AA140">
        <f t="shared" si="12"/>
        <v>0</v>
      </c>
      <c r="AB140">
        <f t="shared" si="13"/>
        <v>2.0765426600493336E-2</v>
      </c>
    </row>
    <row r="141" spans="1:28" x14ac:dyDescent="0.25">
      <c r="A141" t="s">
        <v>16</v>
      </c>
      <c r="B141">
        <v>12.84</v>
      </c>
      <c r="C141">
        <v>2.96</v>
      </c>
      <c r="D141">
        <v>2.61</v>
      </c>
      <c r="E141">
        <v>24</v>
      </c>
      <c r="F141">
        <v>101</v>
      </c>
      <c r="G141">
        <v>2.3199999999999998</v>
      </c>
      <c r="H141">
        <v>0.6</v>
      </c>
      <c r="I141">
        <v>0.53</v>
      </c>
      <c r="J141">
        <v>0.81</v>
      </c>
      <c r="K141">
        <v>4.92</v>
      </c>
      <c r="L141">
        <v>0.89</v>
      </c>
      <c r="M141">
        <v>2.15</v>
      </c>
      <c r="N141">
        <v>590</v>
      </c>
      <c r="X141">
        <f t="shared" si="10"/>
        <v>2</v>
      </c>
      <c r="Y141" cm="1">
        <f t="array" ref="Y141">MMULT(B141:N141,AI$6:AI$18)+AI$5</f>
        <v>1.8863760554630571</v>
      </c>
      <c r="Z141" t="str">
        <f t="shared" si="11"/>
        <v>V3</v>
      </c>
      <c r="AA141">
        <f t="shared" si="12"/>
        <v>0</v>
      </c>
      <c r="AB141">
        <f t="shared" si="13"/>
        <v>1.247884444329545E-2</v>
      </c>
    </row>
    <row r="142" spans="1:28" x14ac:dyDescent="0.25">
      <c r="A142" t="s">
        <v>16</v>
      </c>
      <c r="B142">
        <v>12.93</v>
      </c>
      <c r="C142">
        <v>2.81</v>
      </c>
      <c r="D142">
        <v>2.7</v>
      </c>
      <c r="E142">
        <v>21</v>
      </c>
      <c r="F142">
        <v>96</v>
      </c>
      <c r="G142">
        <v>1.54</v>
      </c>
      <c r="H142">
        <v>0.5</v>
      </c>
      <c r="I142">
        <v>0.53</v>
      </c>
      <c r="J142">
        <v>0.75</v>
      </c>
      <c r="K142">
        <v>4.5999999999999996</v>
      </c>
      <c r="L142">
        <v>0.77</v>
      </c>
      <c r="M142">
        <v>2.31</v>
      </c>
      <c r="N142">
        <v>600</v>
      </c>
      <c r="X142">
        <f t="shared" si="10"/>
        <v>2</v>
      </c>
      <c r="Y142" cm="1">
        <f t="array" ref="Y142">MMULT(B142:N142,AI$6:AI$18)+AI$5</f>
        <v>1.6994999496301744</v>
      </c>
      <c r="Z142" t="str">
        <f t="shared" si="11"/>
        <v>V3</v>
      </c>
      <c r="AA142">
        <f t="shared" si="12"/>
        <v>0</v>
      </c>
      <c r="AB142">
        <f t="shared" si="13"/>
        <v>8.9152915108313871E-2</v>
      </c>
    </row>
    <row r="143" spans="1:28" x14ac:dyDescent="0.25">
      <c r="A143" t="s">
        <v>16</v>
      </c>
      <c r="B143">
        <v>13.36</v>
      </c>
      <c r="C143">
        <v>2.56</v>
      </c>
      <c r="D143">
        <v>2.35</v>
      </c>
      <c r="E143">
        <v>20</v>
      </c>
      <c r="F143">
        <v>89</v>
      </c>
      <c r="G143">
        <v>1.4</v>
      </c>
      <c r="H143">
        <v>0.5</v>
      </c>
      <c r="I143">
        <v>0.37</v>
      </c>
      <c r="J143">
        <v>0.64</v>
      </c>
      <c r="K143">
        <v>5.6</v>
      </c>
      <c r="L143">
        <v>0.7</v>
      </c>
      <c r="M143">
        <v>2.4700000000000002</v>
      </c>
      <c r="N143">
        <v>780</v>
      </c>
      <c r="X143">
        <f t="shared" si="10"/>
        <v>2</v>
      </c>
      <c r="Y143" cm="1">
        <f t="array" ref="Y143">MMULT(B143:N143,AI$6:AI$18)+AI$5</f>
        <v>1.6458848713793941</v>
      </c>
      <c r="Z143" t="str">
        <f t="shared" si="11"/>
        <v>V3</v>
      </c>
      <c r="AA143">
        <f t="shared" si="12"/>
        <v>0</v>
      </c>
      <c r="AB143">
        <f t="shared" si="13"/>
        <v>0.12404479236015646</v>
      </c>
    </row>
    <row r="144" spans="1:28" x14ac:dyDescent="0.25">
      <c r="A144" t="s">
        <v>16</v>
      </c>
      <c r="B144">
        <v>13.52</v>
      </c>
      <c r="C144">
        <v>3.17</v>
      </c>
      <c r="D144">
        <v>2.72</v>
      </c>
      <c r="E144">
        <v>23.5</v>
      </c>
      <c r="F144">
        <v>97</v>
      </c>
      <c r="G144">
        <v>1.55</v>
      </c>
      <c r="H144">
        <v>0.52</v>
      </c>
      <c r="I144">
        <v>0.5</v>
      </c>
      <c r="J144">
        <v>0.55000000000000004</v>
      </c>
      <c r="K144">
        <v>4.3499999999999996</v>
      </c>
      <c r="L144">
        <v>0.89</v>
      </c>
      <c r="M144">
        <v>2.06</v>
      </c>
      <c r="N144">
        <v>520</v>
      </c>
      <c r="X144">
        <f t="shared" si="10"/>
        <v>2</v>
      </c>
      <c r="Y144" cm="1">
        <f t="array" ref="Y144">MMULT(B144:N144,AI$6:AI$18)+AI$5</f>
        <v>1.7890363083150156</v>
      </c>
      <c r="Z144" t="str">
        <f t="shared" si="11"/>
        <v>V3</v>
      </c>
      <c r="AA144">
        <f t="shared" si="12"/>
        <v>0</v>
      </c>
      <c r="AB144">
        <f t="shared" si="13"/>
        <v>4.3701273442619933E-2</v>
      </c>
    </row>
    <row r="145" spans="1:28" x14ac:dyDescent="0.25">
      <c r="A145" t="s">
        <v>16</v>
      </c>
      <c r="B145">
        <v>13.62</v>
      </c>
      <c r="C145">
        <v>4.95</v>
      </c>
      <c r="D145">
        <v>2.35</v>
      </c>
      <c r="E145">
        <v>20</v>
      </c>
      <c r="F145">
        <v>92</v>
      </c>
      <c r="G145">
        <v>2</v>
      </c>
      <c r="H145">
        <v>0.8</v>
      </c>
      <c r="I145">
        <v>0.47</v>
      </c>
      <c r="J145">
        <v>1.02</v>
      </c>
      <c r="K145">
        <v>4.4000000000000004</v>
      </c>
      <c r="L145">
        <v>0.91</v>
      </c>
      <c r="M145">
        <v>2.0499999999999998</v>
      </c>
      <c r="N145">
        <v>550</v>
      </c>
      <c r="X145">
        <f t="shared" si="10"/>
        <v>2</v>
      </c>
      <c r="Y145" cm="1">
        <f t="array" ref="Y145">MMULT(B145:N145,AI$6:AI$18)+AI$5</f>
        <v>1.7388226982020005</v>
      </c>
      <c r="Z145" t="str">
        <f t="shared" si="11"/>
        <v>V3</v>
      </c>
      <c r="AA145">
        <f t="shared" si="12"/>
        <v>0</v>
      </c>
      <c r="AB145">
        <f t="shared" si="13"/>
        <v>6.7216839371928461E-2</v>
      </c>
    </row>
    <row r="146" spans="1:28" x14ac:dyDescent="0.25">
      <c r="A146" t="s">
        <v>16</v>
      </c>
      <c r="B146">
        <v>12.25</v>
      </c>
      <c r="C146">
        <v>3.88</v>
      </c>
      <c r="D146">
        <v>2.2000000000000002</v>
      </c>
      <c r="E146">
        <v>18.5</v>
      </c>
      <c r="F146">
        <v>112</v>
      </c>
      <c r="G146">
        <v>1.38</v>
      </c>
      <c r="H146">
        <v>0.78</v>
      </c>
      <c r="I146">
        <v>0.28999999999999998</v>
      </c>
      <c r="J146">
        <v>1.1399999999999999</v>
      </c>
      <c r="K146">
        <v>8.2100000000000009</v>
      </c>
      <c r="L146">
        <v>0.65</v>
      </c>
      <c r="M146">
        <v>2</v>
      </c>
      <c r="N146">
        <v>855</v>
      </c>
      <c r="X146">
        <f t="shared" si="10"/>
        <v>2</v>
      </c>
      <c r="Y146" cm="1">
        <f t="array" ref="Y146">MMULT(B146:N146,AI$6:AI$18)+AI$5</f>
        <v>1.905844271917525</v>
      </c>
      <c r="Z146" t="str">
        <f t="shared" si="11"/>
        <v>V3</v>
      </c>
      <c r="AA146">
        <f t="shared" si="12"/>
        <v>0</v>
      </c>
      <c r="AB146">
        <f t="shared" si="13"/>
        <v>8.5083157122918373E-3</v>
      </c>
    </row>
    <row r="147" spans="1:28" x14ac:dyDescent="0.25">
      <c r="A147" t="s">
        <v>16</v>
      </c>
      <c r="B147">
        <v>13.16</v>
      </c>
      <c r="C147">
        <v>3.57</v>
      </c>
      <c r="D147">
        <v>2.15</v>
      </c>
      <c r="E147">
        <v>21</v>
      </c>
      <c r="F147">
        <v>102</v>
      </c>
      <c r="G147">
        <v>1.5</v>
      </c>
      <c r="H147">
        <v>0.55000000000000004</v>
      </c>
      <c r="I147">
        <v>0.43</v>
      </c>
      <c r="J147">
        <v>1.3</v>
      </c>
      <c r="K147">
        <v>4</v>
      </c>
      <c r="L147">
        <v>0.6</v>
      </c>
      <c r="M147">
        <v>1.68</v>
      </c>
      <c r="N147">
        <v>830</v>
      </c>
      <c r="X147">
        <f t="shared" si="10"/>
        <v>2</v>
      </c>
      <c r="Y147" cm="1">
        <f t="array" ref="Y147">MMULT(B147:N147,AI$6:AI$18)+AI$5</f>
        <v>1.7646302580718705</v>
      </c>
      <c r="Z147" t="str">
        <f t="shared" si="11"/>
        <v>V3</v>
      </c>
      <c r="AA147">
        <f t="shared" si="12"/>
        <v>0</v>
      </c>
      <c r="AB147">
        <f t="shared" si="13"/>
        <v>5.4501024896653101E-2</v>
      </c>
    </row>
    <row r="148" spans="1:28" x14ac:dyDescent="0.25">
      <c r="A148" t="s">
        <v>16</v>
      </c>
      <c r="B148">
        <v>13.88</v>
      </c>
      <c r="C148">
        <v>5.04</v>
      </c>
      <c r="D148">
        <v>2.23</v>
      </c>
      <c r="E148">
        <v>20</v>
      </c>
      <c r="F148">
        <v>80</v>
      </c>
      <c r="G148">
        <v>0.98</v>
      </c>
      <c r="H148">
        <v>0.34</v>
      </c>
      <c r="I148">
        <v>0.4</v>
      </c>
      <c r="J148">
        <v>0.68</v>
      </c>
      <c r="K148">
        <v>4.9000000000000004</v>
      </c>
      <c r="L148">
        <v>0.57999999999999996</v>
      </c>
      <c r="M148">
        <v>1.33</v>
      </c>
      <c r="N148">
        <v>415</v>
      </c>
      <c r="X148">
        <f t="shared" si="10"/>
        <v>2</v>
      </c>
      <c r="Y148" cm="1">
        <f t="array" ref="Y148">MMULT(B148:N148,AI$6:AI$18)+AI$5</f>
        <v>2.068348625619076</v>
      </c>
      <c r="Z148" t="str">
        <f t="shared" si="11"/>
        <v>V3</v>
      </c>
      <c r="AA148">
        <f t="shared" si="12"/>
        <v>0</v>
      </c>
      <c r="AB148">
        <f t="shared" si="13"/>
        <v>4.9370046639889672E-3</v>
      </c>
    </row>
    <row r="149" spans="1:28" x14ac:dyDescent="0.25">
      <c r="A149" t="s">
        <v>16</v>
      </c>
      <c r="B149">
        <v>12.87</v>
      </c>
      <c r="C149">
        <v>4.6100000000000003</v>
      </c>
      <c r="D149">
        <v>2.48</v>
      </c>
      <c r="E149">
        <v>21.5</v>
      </c>
      <c r="F149">
        <v>86</v>
      </c>
      <c r="G149">
        <v>1.7</v>
      </c>
      <c r="H149">
        <v>0.65</v>
      </c>
      <c r="I149">
        <v>0.47</v>
      </c>
      <c r="J149">
        <v>0.86</v>
      </c>
      <c r="K149">
        <v>7.65</v>
      </c>
      <c r="L149">
        <v>0.54</v>
      </c>
      <c r="M149">
        <v>1.86</v>
      </c>
      <c r="N149">
        <v>625</v>
      </c>
      <c r="X149">
        <f t="shared" si="10"/>
        <v>2</v>
      </c>
      <c r="Y149" cm="1">
        <f t="array" ref="Y149">MMULT(B149:N149,AI$6:AI$18)+AI$5</f>
        <v>2.0975337244628407</v>
      </c>
      <c r="Z149" t="str">
        <f t="shared" si="11"/>
        <v>V3</v>
      </c>
      <c r="AA149">
        <f t="shared" si="12"/>
        <v>0</v>
      </c>
      <c r="AB149">
        <f t="shared" si="13"/>
        <v>9.890087831429719E-3</v>
      </c>
    </row>
    <row r="150" spans="1:28" x14ac:dyDescent="0.25">
      <c r="A150" t="s">
        <v>16</v>
      </c>
      <c r="B150">
        <v>13.32</v>
      </c>
      <c r="C150">
        <v>3.24</v>
      </c>
      <c r="D150">
        <v>2.38</v>
      </c>
      <c r="E150">
        <v>21.5</v>
      </c>
      <c r="F150">
        <v>92</v>
      </c>
      <c r="G150">
        <v>1.93</v>
      </c>
      <c r="H150">
        <v>0.76</v>
      </c>
      <c r="I150">
        <v>0.45</v>
      </c>
      <c r="J150">
        <v>1.25</v>
      </c>
      <c r="K150">
        <v>8.42</v>
      </c>
      <c r="L150">
        <v>0.55000000000000004</v>
      </c>
      <c r="M150">
        <v>1.62</v>
      </c>
      <c r="N150">
        <v>650</v>
      </c>
      <c r="X150">
        <f t="shared" si="10"/>
        <v>2</v>
      </c>
      <c r="Y150" cm="1">
        <f t="array" ref="Y150">MMULT(B150:N150,AI$6:AI$18)+AI$5</f>
        <v>2.1196139188442142</v>
      </c>
      <c r="Z150" t="str">
        <f t="shared" si="11"/>
        <v>V3</v>
      </c>
      <c r="AA150">
        <f t="shared" si="12"/>
        <v>0</v>
      </c>
      <c r="AB150">
        <f t="shared" si="13"/>
        <v>1.4769325816170374E-2</v>
      </c>
    </row>
    <row r="151" spans="1:28" x14ac:dyDescent="0.25">
      <c r="A151" t="s">
        <v>16</v>
      </c>
      <c r="B151">
        <v>13.08</v>
      </c>
      <c r="C151">
        <v>3.9</v>
      </c>
      <c r="D151">
        <v>2.36</v>
      </c>
      <c r="E151">
        <v>21.5</v>
      </c>
      <c r="F151">
        <v>113</v>
      </c>
      <c r="G151">
        <v>1.41</v>
      </c>
      <c r="H151">
        <v>1.39</v>
      </c>
      <c r="I151">
        <v>0.34</v>
      </c>
      <c r="J151">
        <v>1.1399999999999999</v>
      </c>
      <c r="K151">
        <v>9.4</v>
      </c>
      <c r="L151">
        <v>0.56999999999999995</v>
      </c>
      <c r="M151">
        <v>1.33</v>
      </c>
      <c r="N151">
        <v>550</v>
      </c>
      <c r="X151">
        <f t="shared" si="10"/>
        <v>2</v>
      </c>
      <c r="Y151" cm="1">
        <f t="array" ref="Y151">MMULT(B151:N151,AI$6:AI$18)+AI$5</f>
        <v>2.0972013280152826</v>
      </c>
      <c r="Z151" t="str">
        <f t="shared" si="11"/>
        <v>V3</v>
      </c>
      <c r="AA151">
        <f t="shared" si="12"/>
        <v>0</v>
      </c>
      <c r="AB151">
        <f t="shared" si="13"/>
        <v>9.8240853829095875E-3</v>
      </c>
    </row>
    <row r="152" spans="1:28" x14ac:dyDescent="0.25">
      <c r="A152" t="s">
        <v>16</v>
      </c>
      <c r="B152">
        <v>13.5</v>
      </c>
      <c r="C152">
        <v>3.12</v>
      </c>
      <c r="D152">
        <v>2.62</v>
      </c>
      <c r="E152">
        <v>24</v>
      </c>
      <c r="F152">
        <v>123</v>
      </c>
      <c r="G152">
        <v>1.4</v>
      </c>
      <c r="H152">
        <v>1.57</v>
      </c>
      <c r="I152">
        <v>0.22</v>
      </c>
      <c r="J152">
        <v>1.25</v>
      </c>
      <c r="K152">
        <v>8.6</v>
      </c>
      <c r="L152">
        <v>0.59</v>
      </c>
      <c r="M152">
        <v>1.3</v>
      </c>
      <c r="N152">
        <v>500</v>
      </c>
      <c r="X152">
        <f t="shared" si="10"/>
        <v>2</v>
      </c>
      <c r="Y152" cm="1">
        <f t="array" ref="Y152">MMULT(B152:N152,AI$6:AI$18)+AI$5</f>
        <v>2.0496057747993186</v>
      </c>
      <c r="Z152" t="str">
        <f t="shared" si="11"/>
        <v>V3</v>
      </c>
      <c r="AA152">
        <f t="shared" si="12"/>
        <v>0</v>
      </c>
      <c r="AB152">
        <f t="shared" si="13"/>
        <v>2.6544104581138336E-3</v>
      </c>
    </row>
    <row r="153" spans="1:28" x14ac:dyDescent="0.25">
      <c r="A153" t="s">
        <v>16</v>
      </c>
      <c r="B153">
        <v>12.79</v>
      </c>
      <c r="C153">
        <v>2.67</v>
      </c>
      <c r="D153">
        <v>2.48</v>
      </c>
      <c r="E153">
        <v>22</v>
      </c>
      <c r="F153">
        <v>112</v>
      </c>
      <c r="G153">
        <v>1.48</v>
      </c>
      <c r="H153">
        <v>1.36</v>
      </c>
      <c r="I153">
        <v>0.24</v>
      </c>
      <c r="J153">
        <v>1.26</v>
      </c>
      <c r="K153">
        <v>10.8</v>
      </c>
      <c r="L153">
        <v>0.48</v>
      </c>
      <c r="M153">
        <v>1.47</v>
      </c>
      <c r="N153">
        <v>480</v>
      </c>
      <c r="X153">
        <f t="shared" si="10"/>
        <v>2</v>
      </c>
      <c r="Y153" cm="1">
        <f t="array" ref="Y153">MMULT(B153:N153,AI$6:AI$18)+AI$5</f>
        <v>2.2405190200246694</v>
      </c>
      <c r="Z153" t="str">
        <f t="shared" si="11"/>
        <v>V3</v>
      </c>
      <c r="AA153">
        <f t="shared" si="12"/>
        <v>0</v>
      </c>
      <c r="AB153">
        <f t="shared" si="13"/>
        <v>5.8774349221885368E-2</v>
      </c>
    </row>
    <row r="154" spans="1:28" x14ac:dyDescent="0.25">
      <c r="A154" t="s">
        <v>16</v>
      </c>
      <c r="B154">
        <v>13.11</v>
      </c>
      <c r="C154">
        <v>1.9</v>
      </c>
      <c r="D154">
        <v>2.75</v>
      </c>
      <c r="E154">
        <v>25.5</v>
      </c>
      <c r="F154">
        <v>116</v>
      </c>
      <c r="G154">
        <v>2.2000000000000002</v>
      </c>
      <c r="H154">
        <v>1.28</v>
      </c>
      <c r="I154">
        <v>0.26</v>
      </c>
      <c r="J154">
        <v>1.56</v>
      </c>
      <c r="K154">
        <v>7.1</v>
      </c>
      <c r="L154">
        <v>0.61</v>
      </c>
      <c r="M154">
        <v>1.33</v>
      </c>
      <c r="N154">
        <v>425</v>
      </c>
      <c r="X154">
        <f t="shared" si="10"/>
        <v>2</v>
      </c>
      <c r="Y154" cm="1">
        <f t="array" ref="Y154">MMULT(B154:N154,AI$6:AI$18)+AI$5</f>
        <v>2.1674161883006913</v>
      </c>
      <c r="Z154" t="str">
        <f t="shared" si="11"/>
        <v>V3</v>
      </c>
      <c r="AA154">
        <f t="shared" si="12"/>
        <v>0</v>
      </c>
      <c r="AB154">
        <f t="shared" si="13"/>
        <v>2.8673117794672819E-2</v>
      </c>
    </row>
    <row r="155" spans="1:28" x14ac:dyDescent="0.25">
      <c r="A155" t="s">
        <v>16</v>
      </c>
      <c r="B155">
        <v>13.23</v>
      </c>
      <c r="C155">
        <v>3.3</v>
      </c>
      <c r="D155">
        <v>2.2799999999999998</v>
      </c>
      <c r="E155">
        <v>18.5</v>
      </c>
      <c r="F155">
        <v>98</v>
      </c>
      <c r="G155">
        <v>1.8</v>
      </c>
      <c r="H155">
        <v>0.83</v>
      </c>
      <c r="I155">
        <v>0.61</v>
      </c>
      <c r="J155">
        <v>1.87</v>
      </c>
      <c r="K155">
        <v>10.52</v>
      </c>
      <c r="L155">
        <v>0.56000000000000005</v>
      </c>
      <c r="M155">
        <v>1.51</v>
      </c>
      <c r="N155">
        <v>675</v>
      </c>
      <c r="X155">
        <f t="shared" si="10"/>
        <v>2</v>
      </c>
      <c r="Y155" cm="1">
        <f t="array" ref="Y155">MMULT(B155:N155,AI$6:AI$18)+AI$5</f>
        <v>2.1308826235314284</v>
      </c>
      <c r="Z155" t="str">
        <f t="shared" si="11"/>
        <v>V3</v>
      </c>
      <c r="AA155">
        <f t="shared" si="12"/>
        <v>0</v>
      </c>
      <c r="AB155">
        <f t="shared" si="13"/>
        <v>1.7635260939342833E-2</v>
      </c>
    </row>
    <row r="156" spans="1:28" x14ac:dyDescent="0.25">
      <c r="A156" t="s">
        <v>16</v>
      </c>
      <c r="B156">
        <v>12.58</v>
      </c>
      <c r="C156">
        <v>1.29</v>
      </c>
      <c r="D156">
        <v>2.1</v>
      </c>
      <c r="E156">
        <v>20</v>
      </c>
      <c r="F156">
        <v>103</v>
      </c>
      <c r="G156">
        <v>1.48</v>
      </c>
      <c r="H156">
        <v>0.57999999999999996</v>
      </c>
      <c r="I156">
        <v>0.53</v>
      </c>
      <c r="J156">
        <v>1.4</v>
      </c>
      <c r="K156">
        <v>7.6</v>
      </c>
      <c r="L156">
        <v>0.57999999999999996</v>
      </c>
      <c r="M156">
        <v>1.55</v>
      </c>
      <c r="N156">
        <v>640</v>
      </c>
      <c r="X156">
        <f t="shared" si="10"/>
        <v>2</v>
      </c>
      <c r="Y156" cm="1">
        <f t="array" ref="Y156">MMULT(B156:N156,AI$6:AI$18)+AI$5</f>
        <v>2.0179162260750463</v>
      </c>
      <c r="Z156" t="str">
        <f t="shared" si="11"/>
        <v>V3</v>
      </c>
      <c r="AA156">
        <f t="shared" si="12"/>
        <v>0</v>
      </c>
      <c r="AB156">
        <f t="shared" si="13"/>
        <v>3.9328531153023054E-4</v>
      </c>
    </row>
    <row r="157" spans="1:28" x14ac:dyDescent="0.25">
      <c r="A157" t="s">
        <v>16</v>
      </c>
      <c r="B157">
        <v>13.17</v>
      </c>
      <c r="C157">
        <v>5.19</v>
      </c>
      <c r="D157">
        <v>2.3199999999999998</v>
      </c>
      <c r="E157">
        <v>22</v>
      </c>
      <c r="F157">
        <v>93</v>
      </c>
      <c r="G157">
        <v>1.74</v>
      </c>
      <c r="H157">
        <v>0.63</v>
      </c>
      <c r="I157">
        <v>0.61</v>
      </c>
      <c r="J157">
        <v>1.55</v>
      </c>
      <c r="K157">
        <v>7.9</v>
      </c>
      <c r="L157">
        <v>0.6</v>
      </c>
      <c r="M157">
        <v>1.48</v>
      </c>
      <c r="N157">
        <v>725</v>
      </c>
      <c r="X157">
        <f t="shared" si="10"/>
        <v>2</v>
      </c>
      <c r="Y157" cm="1">
        <f t="array" ref="Y157">MMULT(B157:N157,AI$6:AI$18)+AI$5</f>
        <v>2.1396186815610632</v>
      </c>
      <c r="Z157" t="str">
        <f t="shared" si="11"/>
        <v>V3</v>
      </c>
      <c r="AA157">
        <f t="shared" si="12"/>
        <v>0</v>
      </c>
      <c r="AB157">
        <f t="shared" si="13"/>
        <v>2.0031838568921285E-2</v>
      </c>
    </row>
    <row r="158" spans="1:28" x14ac:dyDescent="0.25">
      <c r="A158" t="s">
        <v>16</v>
      </c>
      <c r="B158">
        <v>13.84</v>
      </c>
      <c r="C158">
        <v>4.12</v>
      </c>
      <c r="D158">
        <v>2.38</v>
      </c>
      <c r="E158">
        <v>19.5</v>
      </c>
      <c r="F158">
        <v>89</v>
      </c>
      <c r="G158">
        <v>1.8</v>
      </c>
      <c r="H158">
        <v>0.83</v>
      </c>
      <c r="I158">
        <v>0.48</v>
      </c>
      <c r="J158">
        <v>1.56</v>
      </c>
      <c r="K158">
        <v>9.01</v>
      </c>
      <c r="L158">
        <v>0.56999999999999995</v>
      </c>
      <c r="M158">
        <v>1.64</v>
      </c>
      <c r="N158">
        <v>480</v>
      </c>
      <c r="X158">
        <f t="shared" si="10"/>
        <v>2</v>
      </c>
      <c r="Y158" cm="1">
        <f t="array" ref="Y158">MMULT(B158:N158,AI$6:AI$18)+AI$5</f>
        <v>2.1348294336821412</v>
      </c>
      <c r="Z158" t="str">
        <f t="shared" si="11"/>
        <v>V3</v>
      </c>
      <c r="AA158">
        <f t="shared" si="12"/>
        <v>0</v>
      </c>
      <c r="AB158">
        <f t="shared" si="13"/>
        <v>1.869909381593941E-2</v>
      </c>
    </row>
    <row r="159" spans="1:28" x14ac:dyDescent="0.25">
      <c r="A159" t="s">
        <v>16</v>
      </c>
      <c r="B159">
        <v>12.45</v>
      </c>
      <c r="C159">
        <v>3.03</v>
      </c>
      <c r="D159">
        <v>2.64</v>
      </c>
      <c r="E159">
        <v>27</v>
      </c>
      <c r="F159">
        <v>97</v>
      </c>
      <c r="G159">
        <v>1.9</v>
      </c>
      <c r="H159">
        <v>0.57999999999999996</v>
      </c>
      <c r="I159">
        <v>0.63</v>
      </c>
      <c r="J159">
        <v>1.1399999999999999</v>
      </c>
      <c r="K159">
        <v>7.5</v>
      </c>
      <c r="L159">
        <v>0.67</v>
      </c>
      <c r="M159">
        <v>1.73</v>
      </c>
      <c r="N159">
        <v>880</v>
      </c>
      <c r="X159">
        <f t="shared" si="10"/>
        <v>2</v>
      </c>
      <c r="Y159" cm="1">
        <f t="array" ref="Y159">MMULT(B159:N159,AI$6:AI$18)+AI$5</f>
        <v>2.0904206048448297</v>
      </c>
      <c r="Z159" t="str">
        <f t="shared" si="11"/>
        <v>V3</v>
      </c>
      <c r="AA159">
        <f t="shared" si="12"/>
        <v>0</v>
      </c>
      <c r="AB159">
        <f t="shared" si="13"/>
        <v>8.5259001642704092E-3</v>
      </c>
    </row>
    <row r="160" spans="1:28" x14ac:dyDescent="0.25">
      <c r="A160" t="s">
        <v>16</v>
      </c>
      <c r="B160">
        <v>14.34</v>
      </c>
      <c r="C160">
        <v>1.68</v>
      </c>
      <c r="D160">
        <v>2.7</v>
      </c>
      <c r="E160">
        <v>25</v>
      </c>
      <c r="F160">
        <v>98</v>
      </c>
      <c r="G160">
        <v>2.8</v>
      </c>
      <c r="H160">
        <v>1.31</v>
      </c>
      <c r="I160">
        <v>0.53</v>
      </c>
      <c r="J160">
        <v>2.7</v>
      </c>
      <c r="K160">
        <v>13</v>
      </c>
      <c r="L160">
        <v>0.56999999999999995</v>
      </c>
      <c r="M160">
        <v>1.96</v>
      </c>
      <c r="N160">
        <v>660</v>
      </c>
      <c r="X160">
        <f t="shared" si="10"/>
        <v>2</v>
      </c>
      <c r="Y160" cm="1">
        <f t="array" ref="Y160">MMULT(B160:N160,AI$6:AI$18)+AI$5</f>
        <v>2.2406101851517564</v>
      </c>
      <c r="Z160" t="str">
        <f t="shared" si="11"/>
        <v>V3</v>
      </c>
      <c r="AA160">
        <f t="shared" si="12"/>
        <v>0</v>
      </c>
      <c r="AB160">
        <f t="shared" si="13"/>
        <v>5.8818560625240018E-2</v>
      </c>
    </row>
    <row r="161" spans="1:28" x14ac:dyDescent="0.25">
      <c r="A161" t="s">
        <v>16</v>
      </c>
      <c r="B161">
        <v>13.48</v>
      </c>
      <c r="C161">
        <v>1.67</v>
      </c>
      <c r="D161">
        <v>2.64</v>
      </c>
      <c r="E161">
        <v>22.5</v>
      </c>
      <c r="F161">
        <v>89</v>
      </c>
      <c r="G161">
        <v>2.6</v>
      </c>
      <c r="H161">
        <v>1.1000000000000001</v>
      </c>
      <c r="I161">
        <v>0.52</v>
      </c>
      <c r="J161">
        <v>2.29</v>
      </c>
      <c r="K161">
        <v>11.75</v>
      </c>
      <c r="L161">
        <v>0.56999999999999995</v>
      </c>
      <c r="M161">
        <v>1.78</v>
      </c>
      <c r="N161">
        <v>620</v>
      </c>
      <c r="X161">
        <f t="shared" si="10"/>
        <v>2</v>
      </c>
      <c r="Y161" cm="1">
        <f t="array" ref="Y161">MMULT(B161:N161,AI$6:AI$18)+AI$5</f>
        <v>2.2440507779394498</v>
      </c>
      <c r="Z161" t="str">
        <f t="shared" si="11"/>
        <v>V3</v>
      </c>
      <c r="AA161">
        <f t="shared" si="12"/>
        <v>0</v>
      </c>
      <c r="AB161">
        <f t="shared" si="13"/>
        <v>6.0499260460154372E-2</v>
      </c>
    </row>
    <row r="162" spans="1:28" x14ac:dyDescent="0.25">
      <c r="A162" t="s">
        <v>16</v>
      </c>
      <c r="B162">
        <v>12.36</v>
      </c>
      <c r="C162">
        <v>3.83</v>
      </c>
      <c r="D162">
        <v>2.38</v>
      </c>
      <c r="E162">
        <v>21</v>
      </c>
      <c r="F162">
        <v>88</v>
      </c>
      <c r="G162">
        <v>2.2999999999999998</v>
      </c>
      <c r="H162">
        <v>0.92</v>
      </c>
      <c r="I162">
        <v>0.5</v>
      </c>
      <c r="J162">
        <v>1.04</v>
      </c>
      <c r="K162">
        <v>7.65</v>
      </c>
      <c r="L162">
        <v>0.56000000000000005</v>
      </c>
      <c r="M162">
        <v>1.58</v>
      </c>
      <c r="N162">
        <v>520</v>
      </c>
      <c r="X162">
        <f t="shared" si="10"/>
        <v>2</v>
      </c>
      <c r="Y162" cm="1">
        <f t="array" ref="Y162">MMULT(B162:N162,AI$6:AI$18)+AI$5</f>
        <v>2.1770027472933222</v>
      </c>
      <c r="Z162" t="str">
        <f t="shared" si="11"/>
        <v>V3</v>
      </c>
      <c r="AA162">
        <f t="shared" si="12"/>
        <v>0</v>
      </c>
      <c r="AB162">
        <f t="shared" si="13"/>
        <v>3.2011630522636517E-2</v>
      </c>
    </row>
    <row r="163" spans="1:28" x14ac:dyDescent="0.25">
      <c r="A163" t="s">
        <v>16</v>
      </c>
      <c r="B163">
        <v>13.69</v>
      </c>
      <c r="C163">
        <v>3.26</v>
      </c>
      <c r="D163">
        <v>2.54</v>
      </c>
      <c r="E163">
        <v>20</v>
      </c>
      <c r="F163">
        <v>107</v>
      </c>
      <c r="G163">
        <v>1.83</v>
      </c>
      <c r="H163">
        <v>0.56000000000000005</v>
      </c>
      <c r="I163">
        <v>0.5</v>
      </c>
      <c r="J163">
        <v>0.8</v>
      </c>
      <c r="K163">
        <v>5.88</v>
      </c>
      <c r="L163">
        <v>0.96</v>
      </c>
      <c r="M163">
        <v>1.82</v>
      </c>
      <c r="N163">
        <v>680</v>
      </c>
      <c r="X163">
        <f t="shared" si="10"/>
        <v>2</v>
      </c>
      <c r="Y163" cm="1">
        <f t="array" ref="Y163">MMULT(B163:N163,AI$6:AI$18)+AI$5</f>
        <v>1.7836379716909259</v>
      </c>
      <c r="Z163" t="str">
        <f t="shared" si="11"/>
        <v>V3</v>
      </c>
      <c r="AA163">
        <f t="shared" si="12"/>
        <v>0</v>
      </c>
      <c r="AB163">
        <f t="shared" si="13"/>
        <v>4.5987443779135884E-2</v>
      </c>
    </row>
    <row r="164" spans="1:28" x14ac:dyDescent="0.25">
      <c r="A164" t="s">
        <v>16</v>
      </c>
      <c r="B164">
        <v>12.85</v>
      </c>
      <c r="C164">
        <v>3.27</v>
      </c>
      <c r="D164">
        <v>2.58</v>
      </c>
      <c r="E164">
        <v>22</v>
      </c>
      <c r="F164">
        <v>106</v>
      </c>
      <c r="G164">
        <v>1.65</v>
      </c>
      <c r="H164">
        <v>0.6</v>
      </c>
      <c r="I164">
        <v>0.6</v>
      </c>
      <c r="J164">
        <v>0.96</v>
      </c>
      <c r="K164">
        <v>5.58</v>
      </c>
      <c r="L164">
        <v>0.87</v>
      </c>
      <c r="M164">
        <v>2.11</v>
      </c>
      <c r="N164">
        <v>570</v>
      </c>
      <c r="X164">
        <f t="shared" si="10"/>
        <v>2</v>
      </c>
      <c r="Y164" cm="1">
        <f t="array" ref="Y164">MMULT(B164:N164,AI$6:AI$18)+AI$5</f>
        <v>1.8165134238234268</v>
      </c>
      <c r="Z164" t="str">
        <f t="shared" si="11"/>
        <v>V3</v>
      </c>
      <c r="AA164">
        <f t="shared" si="12"/>
        <v>0</v>
      </c>
      <c r="AB164">
        <f t="shared" si="13"/>
        <v>3.2968166007562062E-2</v>
      </c>
    </row>
    <row r="165" spans="1:28" x14ac:dyDescent="0.25">
      <c r="A165" t="s">
        <v>16</v>
      </c>
      <c r="B165">
        <v>12.96</v>
      </c>
      <c r="C165">
        <v>3.45</v>
      </c>
      <c r="D165">
        <v>2.35</v>
      </c>
      <c r="E165">
        <v>18.5</v>
      </c>
      <c r="F165">
        <v>106</v>
      </c>
      <c r="G165">
        <v>1.39</v>
      </c>
      <c r="H165">
        <v>0.7</v>
      </c>
      <c r="I165">
        <v>0.4</v>
      </c>
      <c r="J165">
        <v>0.94</v>
      </c>
      <c r="K165">
        <v>5.28</v>
      </c>
      <c r="L165">
        <v>0.68</v>
      </c>
      <c r="M165">
        <v>1.75</v>
      </c>
      <c r="N165">
        <v>675</v>
      </c>
      <c r="X165">
        <f t="shared" si="10"/>
        <v>2</v>
      </c>
      <c r="Y165" cm="1">
        <f t="array" ref="Y165">MMULT(B165:N165,AI$6:AI$18)+AI$5</f>
        <v>1.7684271933283298</v>
      </c>
      <c r="Z165" t="str">
        <f t="shared" si="11"/>
        <v>V3</v>
      </c>
      <c r="AA165">
        <f t="shared" si="12"/>
        <v>0</v>
      </c>
      <c r="AB165">
        <f t="shared" si="13"/>
        <v>5.274261802348125E-2</v>
      </c>
    </row>
    <row r="166" spans="1:28" x14ac:dyDescent="0.25">
      <c r="A166" t="s">
        <v>16</v>
      </c>
      <c r="B166">
        <v>13.78</v>
      </c>
      <c r="C166">
        <v>2.76</v>
      </c>
      <c r="D166">
        <v>2.2999999999999998</v>
      </c>
      <c r="E166">
        <v>22</v>
      </c>
      <c r="F166">
        <v>90</v>
      </c>
      <c r="G166">
        <v>1.35</v>
      </c>
      <c r="H166">
        <v>0.68</v>
      </c>
      <c r="I166">
        <v>0.41</v>
      </c>
      <c r="J166">
        <v>1.03</v>
      </c>
      <c r="K166">
        <v>9.58</v>
      </c>
      <c r="L166">
        <v>0.7</v>
      </c>
      <c r="M166">
        <v>1.68</v>
      </c>
      <c r="N166">
        <v>615</v>
      </c>
      <c r="X166">
        <f t="shared" si="10"/>
        <v>2</v>
      </c>
      <c r="Y166" cm="1">
        <f t="array" ref="Y166">MMULT(B166:N166,AI$6:AI$18)+AI$5</f>
        <v>2.1148630002821007</v>
      </c>
      <c r="Z166" t="str">
        <f t="shared" si="11"/>
        <v>V3</v>
      </c>
      <c r="AA166">
        <f t="shared" si="12"/>
        <v>0</v>
      </c>
      <c r="AB166">
        <f t="shared" si="13"/>
        <v>1.3637147185854574E-2</v>
      </c>
    </row>
    <row r="167" spans="1:28" x14ac:dyDescent="0.25">
      <c r="A167" t="s">
        <v>16</v>
      </c>
      <c r="B167">
        <v>13.73</v>
      </c>
      <c r="C167">
        <v>4.3600000000000003</v>
      </c>
      <c r="D167">
        <v>2.2599999999999998</v>
      </c>
      <c r="E167">
        <v>22.5</v>
      </c>
      <c r="F167">
        <v>88</v>
      </c>
      <c r="G167">
        <v>1.28</v>
      </c>
      <c r="H167">
        <v>0.47</v>
      </c>
      <c r="I167">
        <v>0.52</v>
      </c>
      <c r="J167">
        <v>1.1499999999999999</v>
      </c>
      <c r="K167">
        <v>6.62</v>
      </c>
      <c r="L167">
        <v>0.78</v>
      </c>
      <c r="M167">
        <v>1.75</v>
      </c>
      <c r="N167">
        <v>520</v>
      </c>
      <c r="X167">
        <f t="shared" si="10"/>
        <v>2</v>
      </c>
      <c r="Y167" cm="1">
        <f t="array" ref="Y167">MMULT(B167:N167,AI$6:AI$18)+AI$5</f>
        <v>2.033871220591283</v>
      </c>
      <c r="Z167" t="str">
        <f t="shared" si="11"/>
        <v>V3</v>
      </c>
      <c r="AA167">
        <f t="shared" si="12"/>
        <v>0</v>
      </c>
      <c r="AB167">
        <f t="shared" si="13"/>
        <v>1.2806676305110937E-3</v>
      </c>
    </row>
    <row r="168" spans="1:28" x14ac:dyDescent="0.25">
      <c r="A168" t="s">
        <v>16</v>
      </c>
      <c r="B168">
        <v>13.45</v>
      </c>
      <c r="C168">
        <v>3.7</v>
      </c>
      <c r="D168">
        <v>2.6</v>
      </c>
      <c r="E168">
        <v>23</v>
      </c>
      <c r="F168">
        <v>111</v>
      </c>
      <c r="G168">
        <v>1.7</v>
      </c>
      <c r="H168">
        <v>0.92</v>
      </c>
      <c r="I168">
        <v>0.43</v>
      </c>
      <c r="J168">
        <v>1.46</v>
      </c>
      <c r="K168">
        <v>10.68</v>
      </c>
      <c r="L168">
        <v>0.85</v>
      </c>
      <c r="M168">
        <v>1.56</v>
      </c>
      <c r="N168">
        <v>695</v>
      </c>
      <c r="X168">
        <f t="shared" si="10"/>
        <v>2</v>
      </c>
      <c r="Y168" cm="1">
        <f t="array" ref="Y168">MMULT(B168:N168,AI$6:AI$18)+AI$5</f>
        <v>2.1774800123710172</v>
      </c>
      <c r="Z168" t="str">
        <f t="shared" si="11"/>
        <v>V3</v>
      </c>
      <c r="AA168">
        <f t="shared" si="12"/>
        <v>0</v>
      </c>
      <c r="AB168">
        <f t="shared" si="13"/>
        <v>3.2182640877045671E-2</v>
      </c>
    </row>
    <row r="169" spans="1:28" x14ac:dyDescent="0.25">
      <c r="A169" t="s">
        <v>16</v>
      </c>
      <c r="B169">
        <v>12.82</v>
      </c>
      <c r="C169">
        <v>3.37</v>
      </c>
      <c r="D169">
        <v>2.2999999999999998</v>
      </c>
      <c r="E169">
        <v>19.5</v>
      </c>
      <c r="F169">
        <v>88</v>
      </c>
      <c r="G169">
        <v>1.48</v>
      </c>
      <c r="H169">
        <v>0.66</v>
      </c>
      <c r="I169">
        <v>0.4</v>
      </c>
      <c r="J169">
        <v>0.97</v>
      </c>
      <c r="K169">
        <v>10.26</v>
      </c>
      <c r="L169">
        <v>0.72</v>
      </c>
      <c r="M169">
        <v>1.75</v>
      </c>
      <c r="N169">
        <v>685</v>
      </c>
      <c r="X169">
        <f t="shared" si="10"/>
        <v>2</v>
      </c>
      <c r="Y169" cm="1">
        <f t="array" ref="Y169">MMULT(B169:N169,AI$6:AI$18)+AI$5</f>
        <v>2.1481218520816832</v>
      </c>
      <c r="Z169" t="str">
        <f t="shared" si="11"/>
        <v>V3</v>
      </c>
      <c r="AA169">
        <f t="shared" si="12"/>
        <v>0</v>
      </c>
      <c r="AB169">
        <f t="shared" si="13"/>
        <v>2.2511115872809268E-2</v>
      </c>
    </row>
    <row r="170" spans="1:28" x14ac:dyDescent="0.25">
      <c r="A170" t="s">
        <v>16</v>
      </c>
      <c r="B170">
        <v>13.58</v>
      </c>
      <c r="C170">
        <v>2.58</v>
      </c>
      <c r="D170">
        <v>2.69</v>
      </c>
      <c r="E170">
        <v>24.5</v>
      </c>
      <c r="F170">
        <v>105</v>
      </c>
      <c r="G170">
        <v>1.55</v>
      </c>
      <c r="H170">
        <v>0.84</v>
      </c>
      <c r="I170">
        <v>0.39</v>
      </c>
      <c r="J170">
        <v>1.54</v>
      </c>
      <c r="K170">
        <v>8.66</v>
      </c>
      <c r="L170">
        <v>0.74</v>
      </c>
      <c r="M170">
        <v>1.8</v>
      </c>
      <c r="N170">
        <v>750</v>
      </c>
      <c r="X170">
        <f t="shared" si="10"/>
        <v>2</v>
      </c>
      <c r="Y170" cm="1">
        <f t="array" ref="Y170">MMULT(B170:N170,AI$6:AI$18)+AI$5</f>
        <v>2.0022342443359444</v>
      </c>
      <c r="Z170" t="str">
        <f t="shared" si="11"/>
        <v>V3</v>
      </c>
      <c r="AA170">
        <f t="shared" si="12"/>
        <v>0</v>
      </c>
      <c r="AB170">
        <f t="shared" si="13"/>
        <v>1.721785719634577E-5</v>
      </c>
    </row>
    <row r="171" spans="1:28" x14ac:dyDescent="0.25">
      <c r="A171" t="s">
        <v>16</v>
      </c>
      <c r="B171">
        <v>13.4</v>
      </c>
      <c r="C171">
        <v>4.5999999999999996</v>
      </c>
      <c r="D171">
        <v>2.86</v>
      </c>
      <c r="E171">
        <v>25</v>
      </c>
      <c r="F171">
        <v>112</v>
      </c>
      <c r="G171">
        <v>1.98</v>
      </c>
      <c r="H171">
        <v>0.96</v>
      </c>
      <c r="I171">
        <v>0.27</v>
      </c>
      <c r="J171">
        <v>1.1100000000000001</v>
      </c>
      <c r="K171">
        <v>8.5</v>
      </c>
      <c r="L171">
        <v>0.67</v>
      </c>
      <c r="M171">
        <v>1.92</v>
      </c>
      <c r="N171">
        <v>630</v>
      </c>
      <c r="X171">
        <f t="shared" si="10"/>
        <v>2</v>
      </c>
      <c r="Y171" cm="1">
        <f t="array" ref="Y171">MMULT(B171:N171,AI$6:AI$18)+AI$5</f>
        <v>2.1480180529689665</v>
      </c>
      <c r="Z171" t="str">
        <f t="shared" si="11"/>
        <v>V3</v>
      </c>
      <c r="AA171">
        <f t="shared" si="12"/>
        <v>0</v>
      </c>
      <c r="AB171">
        <f t="shared" si="13"/>
        <v>2.2479979222081666E-2</v>
      </c>
    </row>
    <row r="172" spans="1:28" x14ac:dyDescent="0.25">
      <c r="A172" t="s">
        <v>16</v>
      </c>
      <c r="B172">
        <v>12.2</v>
      </c>
      <c r="C172">
        <v>3.03</v>
      </c>
      <c r="D172">
        <v>2.3199999999999998</v>
      </c>
      <c r="E172">
        <v>19</v>
      </c>
      <c r="F172">
        <v>96</v>
      </c>
      <c r="G172">
        <v>1.25</v>
      </c>
      <c r="H172">
        <v>0.49</v>
      </c>
      <c r="I172">
        <v>0.4</v>
      </c>
      <c r="J172">
        <v>0.73</v>
      </c>
      <c r="K172">
        <v>5.5</v>
      </c>
      <c r="L172">
        <v>0.66</v>
      </c>
      <c r="M172">
        <v>1.83</v>
      </c>
      <c r="N172">
        <v>510</v>
      </c>
      <c r="X172">
        <f t="shared" si="10"/>
        <v>2</v>
      </c>
      <c r="Y172" cm="1">
        <f t="array" ref="Y172">MMULT(B172:N172,AI$6:AI$18)+AI$5</f>
        <v>1.9403653905083205</v>
      </c>
      <c r="Z172" t="str">
        <f t="shared" si="11"/>
        <v>V3</v>
      </c>
      <c r="AA172">
        <f t="shared" si="12"/>
        <v>0</v>
      </c>
      <c r="AB172">
        <f t="shared" si="13"/>
        <v>3.3315306646846932E-3</v>
      </c>
    </row>
    <row r="173" spans="1:28" x14ac:dyDescent="0.25">
      <c r="A173" t="s">
        <v>16</v>
      </c>
      <c r="B173">
        <v>12.77</v>
      </c>
      <c r="C173">
        <v>2.39</v>
      </c>
      <c r="D173">
        <v>2.2799999999999998</v>
      </c>
      <c r="E173">
        <v>19.5</v>
      </c>
      <c r="F173">
        <v>86</v>
      </c>
      <c r="G173">
        <v>1.39</v>
      </c>
      <c r="H173">
        <v>0.51</v>
      </c>
      <c r="I173">
        <v>0.48</v>
      </c>
      <c r="J173">
        <v>0.64</v>
      </c>
      <c r="K173">
        <v>9.8999989999999993</v>
      </c>
      <c r="L173">
        <v>0.56999999999999995</v>
      </c>
      <c r="M173">
        <v>1.63</v>
      </c>
      <c r="N173">
        <v>470</v>
      </c>
      <c r="X173">
        <f t="shared" si="10"/>
        <v>2</v>
      </c>
      <c r="Y173" cm="1">
        <f t="array" ref="Y173">MMULT(B173:N173,AI$6:AI$18)+AI$5</f>
        <v>2.2491476279717455</v>
      </c>
      <c r="Z173" t="str">
        <f t="shared" si="11"/>
        <v>V3</v>
      </c>
      <c r="AA173">
        <f t="shared" si="12"/>
        <v>0</v>
      </c>
      <c r="AB173">
        <f t="shared" si="13"/>
        <v>6.3032541707412987E-2</v>
      </c>
    </row>
    <row r="174" spans="1:28" x14ac:dyDescent="0.25">
      <c r="A174" t="s">
        <v>16</v>
      </c>
      <c r="B174">
        <v>14.16</v>
      </c>
      <c r="C174">
        <v>2.5099999999999998</v>
      </c>
      <c r="D174">
        <v>2.48</v>
      </c>
      <c r="E174">
        <v>20</v>
      </c>
      <c r="F174">
        <v>91</v>
      </c>
      <c r="G174">
        <v>1.68</v>
      </c>
      <c r="H174">
        <v>0.7</v>
      </c>
      <c r="I174">
        <v>0.44</v>
      </c>
      <c r="J174">
        <v>1.24</v>
      </c>
      <c r="K174">
        <v>9.6999999999999993</v>
      </c>
      <c r="L174">
        <v>0.62</v>
      </c>
      <c r="M174">
        <v>1.71</v>
      </c>
      <c r="N174">
        <v>660</v>
      </c>
      <c r="X174">
        <f t="shared" si="10"/>
        <v>2</v>
      </c>
      <c r="Y174" cm="1">
        <f t="array" ref="Y174">MMULT(B174:N174,AI$6:AI$18)+AI$5</f>
        <v>2.0424782135068011</v>
      </c>
      <c r="Z174" t="str">
        <f t="shared" si="11"/>
        <v>V3</v>
      </c>
      <c r="AA174">
        <f t="shared" si="12"/>
        <v>0</v>
      </c>
      <c r="AB174">
        <f t="shared" si="13"/>
        <v>1.9707748300498928E-3</v>
      </c>
    </row>
    <row r="175" spans="1:28" x14ac:dyDescent="0.25">
      <c r="A175" t="s">
        <v>16</v>
      </c>
      <c r="B175">
        <v>13.71</v>
      </c>
      <c r="C175">
        <v>5.65</v>
      </c>
      <c r="D175">
        <v>2.4500000000000002</v>
      </c>
      <c r="E175">
        <v>20.5</v>
      </c>
      <c r="F175">
        <v>95</v>
      </c>
      <c r="G175">
        <v>1.68</v>
      </c>
      <c r="H175">
        <v>0.61</v>
      </c>
      <c r="I175">
        <v>0.52</v>
      </c>
      <c r="J175">
        <v>1.06</v>
      </c>
      <c r="K175">
        <v>7.7</v>
      </c>
      <c r="L175">
        <v>0.64</v>
      </c>
      <c r="M175">
        <v>1.74</v>
      </c>
      <c r="N175">
        <v>740</v>
      </c>
      <c r="X175">
        <f t="shared" si="10"/>
        <v>2</v>
      </c>
      <c r="Y175" cm="1">
        <f t="array" ref="Y175">MMULT(B175:N175,AI$6:AI$18)+AI$5</f>
        <v>2.0093757172929818</v>
      </c>
      <c r="Z175" t="str">
        <f t="shared" si="11"/>
        <v>V3</v>
      </c>
      <c r="AA175">
        <f t="shared" si="12"/>
        <v>0</v>
      </c>
      <c r="AB175">
        <f t="shared" si="13"/>
        <v>1.2748472868968252E-4</v>
      </c>
    </row>
    <row r="176" spans="1:28" x14ac:dyDescent="0.25">
      <c r="A176" t="s">
        <v>16</v>
      </c>
      <c r="B176">
        <v>13.4</v>
      </c>
      <c r="C176">
        <v>3.91</v>
      </c>
      <c r="D176">
        <v>2.48</v>
      </c>
      <c r="E176">
        <v>23</v>
      </c>
      <c r="F176">
        <v>102</v>
      </c>
      <c r="G176">
        <v>1.8</v>
      </c>
      <c r="H176">
        <v>0.75</v>
      </c>
      <c r="I176">
        <v>0.43</v>
      </c>
      <c r="J176">
        <v>1.41</v>
      </c>
      <c r="K176">
        <v>7.3</v>
      </c>
      <c r="L176">
        <v>0.7</v>
      </c>
      <c r="M176">
        <v>1.56</v>
      </c>
      <c r="N176">
        <v>750</v>
      </c>
      <c r="X176">
        <f t="shared" si="10"/>
        <v>2</v>
      </c>
      <c r="Y176" cm="1">
        <f t="array" ref="Y176">MMULT(B176:N176,AI$6:AI$18)+AI$5</f>
        <v>2.0346431913948919</v>
      </c>
      <c r="Z176" t="str">
        <f t="shared" si="11"/>
        <v>V3</v>
      </c>
      <c r="AA176">
        <f t="shared" si="12"/>
        <v>0</v>
      </c>
      <c r="AB176">
        <f t="shared" si="13"/>
        <v>1.3365157073709484E-3</v>
      </c>
    </row>
    <row r="177" spans="1:28" x14ac:dyDescent="0.25">
      <c r="A177" t="s">
        <v>16</v>
      </c>
      <c r="B177">
        <v>13.27</v>
      </c>
      <c r="C177">
        <v>4.28</v>
      </c>
      <c r="D177">
        <v>2.2599999999999998</v>
      </c>
      <c r="E177">
        <v>20</v>
      </c>
      <c r="F177">
        <v>120</v>
      </c>
      <c r="G177">
        <v>1.59</v>
      </c>
      <c r="H177">
        <v>0.69</v>
      </c>
      <c r="I177">
        <v>0.43</v>
      </c>
      <c r="J177">
        <v>1.35</v>
      </c>
      <c r="K177">
        <v>10.199999999999999</v>
      </c>
      <c r="L177">
        <v>0.59</v>
      </c>
      <c r="M177">
        <v>1.56</v>
      </c>
      <c r="N177">
        <v>835</v>
      </c>
      <c r="X177">
        <f t="shared" si="10"/>
        <v>2</v>
      </c>
      <c r="Y177" cm="1">
        <f t="array" ref="Y177">MMULT(B177:N177,AI$6:AI$18)+AI$5</f>
        <v>2.1419994297666944</v>
      </c>
      <c r="Z177" t="str">
        <f t="shared" si="11"/>
        <v>V3</v>
      </c>
      <c r="AA177">
        <f t="shared" si="12"/>
        <v>0</v>
      </c>
      <c r="AB177">
        <f t="shared" si="13"/>
        <v>2.0711419582220864E-2</v>
      </c>
    </row>
    <row r="178" spans="1:28" x14ac:dyDescent="0.25">
      <c r="A178" t="s">
        <v>16</v>
      </c>
      <c r="B178">
        <v>13.17</v>
      </c>
      <c r="C178">
        <v>2.59</v>
      </c>
      <c r="D178">
        <v>2.37</v>
      </c>
      <c r="E178">
        <v>20</v>
      </c>
      <c r="F178">
        <v>120</v>
      </c>
      <c r="G178">
        <v>1.65</v>
      </c>
      <c r="H178">
        <v>0.68</v>
      </c>
      <c r="I178">
        <v>0.53</v>
      </c>
      <c r="J178">
        <v>1.46</v>
      </c>
      <c r="K178">
        <v>9.3000000000000007</v>
      </c>
      <c r="L178">
        <v>0.6</v>
      </c>
      <c r="M178">
        <v>1.62</v>
      </c>
      <c r="N178">
        <v>840</v>
      </c>
      <c r="X178">
        <f t="shared" si="10"/>
        <v>2</v>
      </c>
      <c r="Y178" cm="1">
        <f t="array" ref="Y178">MMULT(B178:N178,AI$6:AI$18)+AI$5</f>
        <v>1.9975431092835048</v>
      </c>
      <c r="Z178" t="str">
        <f t="shared" si="11"/>
        <v>V3</v>
      </c>
      <c r="AA178">
        <f t="shared" si="12"/>
        <v>0</v>
      </c>
      <c r="AB178">
        <f t="shared" si="13"/>
        <v>2.9343289241242898E-7</v>
      </c>
    </row>
    <row r="179" spans="1:28" x14ac:dyDescent="0.25">
      <c r="A179" t="s">
        <v>16</v>
      </c>
      <c r="B179">
        <v>14.13</v>
      </c>
      <c r="C179">
        <v>4.0999999999999996</v>
      </c>
      <c r="D179">
        <v>2.74</v>
      </c>
      <c r="E179">
        <v>24.5</v>
      </c>
      <c r="F179">
        <v>96</v>
      </c>
      <c r="G179">
        <v>2.0499999999999998</v>
      </c>
      <c r="H179">
        <v>0.76</v>
      </c>
      <c r="I179">
        <v>0.56000000000000005</v>
      </c>
      <c r="J179">
        <v>1.35</v>
      </c>
      <c r="K179">
        <v>9.1999999999999993</v>
      </c>
      <c r="L179">
        <v>0.61</v>
      </c>
      <c r="M179">
        <v>1.6</v>
      </c>
      <c r="N179">
        <v>560</v>
      </c>
      <c r="X179">
        <f t="shared" si="10"/>
        <v>2</v>
      </c>
      <c r="Y179" cm="1">
        <f t="array" ref="Y179">MMULT(B179:N179,AI$6:AI$18)+AI$5</f>
        <v>2.2278032205768925</v>
      </c>
      <c r="Z179" t="str">
        <f t="shared" si="11"/>
        <v>V3</v>
      </c>
      <c r="AA179">
        <f t="shared" si="12"/>
        <v>0</v>
      </c>
      <c r="AB179">
        <f t="shared" si="13"/>
        <v>5.277055103056464E-2</v>
      </c>
    </row>
    <row r="182" spans="1:28" x14ac:dyDescent="0.25">
      <c r="A182" t="s">
        <v>17</v>
      </c>
      <c r="B182">
        <v>14</v>
      </c>
      <c r="C182">
        <v>4</v>
      </c>
      <c r="D182">
        <v>3</v>
      </c>
      <c r="E182">
        <v>19</v>
      </c>
      <c r="F182">
        <v>97</v>
      </c>
      <c r="G182">
        <v>3</v>
      </c>
      <c r="H182">
        <v>1</v>
      </c>
      <c r="I182">
        <v>1</v>
      </c>
      <c r="J182">
        <v>2</v>
      </c>
      <c r="K182">
        <v>5</v>
      </c>
      <c r="L182">
        <v>1</v>
      </c>
      <c r="M182">
        <v>3</v>
      </c>
      <c r="N182">
        <v>910</v>
      </c>
      <c r="Y182" s="1" cm="1">
        <f t="array" ref="Y182">MMULT(B182:N182,AI$6:AI$18)+AI$5</f>
        <v>1.2158510782250043</v>
      </c>
      <c r="Z182" s="1" t="str">
        <f t="shared" si="11"/>
        <v>V2</v>
      </c>
    </row>
    <row r="183" spans="1:28" x14ac:dyDescent="0.25">
      <c r="A183" t="s">
        <v>17</v>
      </c>
      <c r="B183">
        <v>13</v>
      </c>
      <c r="C183">
        <v>1</v>
      </c>
      <c r="D183">
        <v>2</v>
      </c>
      <c r="E183">
        <v>14</v>
      </c>
      <c r="F183">
        <v>105</v>
      </c>
      <c r="G183">
        <v>3</v>
      </c>
      <c r="H183">
        <v>1</v>
      </c>
      <c r="I183">
        <v>1</v>
      </c>
      <c r="J183">
        <v>1</v>
      </c>
      <c r="K183">
        <v>7</v>
      </c>
      <c r="L183">
        <v>1</v>
      </c>
      <c r="M183">
        <v>2</v>
      </c>
      <c r="N183">
        <v>1660</v>
      </c>
      <c r="Y183" s="1" cm="1">
        <f t="array" ref="Y183">MMULT(B183:N183,AI$6:AI$18)+AI$5</f>
        <v>1.0688788773009141</v>
      </c>
      <c r="Z183" s="1" t="str">
        <f t="shared" si="11"/>
        <v>V2</v>
      </c>
    </row>
    <row r="184" spans="1:28" x14ac:dyDescent="0.25">
      <c r="A184" t="s">
        <v>17</v>
      </c>
      <c r="B184">
        <v>12</v>
      </c>
      <c r="C184">
        <v>1</v>
      </c>
      <c r="D184">
        <v>2</v>
      </c>
      <c r="E184">
        <v>28</v>
      </c>
      <c r="F184">
        <v>82</v>
      </c>
      <c r="G184">
        <v>1</v>
      </c>
      <c r="H184">
        <v>4</v>
      </c>
      <c r="I184">
        <v>1</v>
      </c>
      <c r="J184">
        <v>2</v>
      </c>
      <c r="K184">
        <v>7</v>
      </c>
      <c r="L184">
        <v>1</v>
      </c>
      <c r="M184">
        <v>3</v>
      </c>
      <c r="N184">
        <v>489</v>
      </c>
      <c r="Y184" s="1" cm="1">
        <f t="array" ref="Y184">MMULT(B184:N184,AI$6:AI$18)+AI$5</f>
        <v>0.73198598077311083</v>
      </c>
      <c r="Z184" s="1" t="str">
        <f t="shared" si="11"/>
        <v>V1</v>
      </c>
    </row>
  </sheetData>
  <mergeCells count="1">
    <mergeCell ref="AG25:AH2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G20" sqref="A1:XFD104857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06E97-D841-4138-B331-5F0B899E37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LDA</vt:lpstr>
      <vt:lpstr>SolverProblem&amp;Solution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2026-05-14T16:01:00Z</dcterms:modified>
</cp:coreProperties>
</file>