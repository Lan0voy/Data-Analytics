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323EA7CC-CC21-4C7C-B66E-6572336BBDC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iris" sheetId="8" r:id="rId1"/>
  </sheets>
  <definedNames>
    <definedName name="ExternalData_1" localSheetId="0" hidden="1">iris!#REF!</definedName>
    <definedName name="solver_adj" localSheetId="0" hidden="1">iris!$M$5:$M$9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iris!$L$20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" i="8" l="1"/>
  <c r="J2" i="8"/>
  <c r="L18" i="8"/>
  <c r="G2" i="8" a="1"/>
  <c r="G2" i="8" s="1"/>
  <c r="L12" i="8"/>
  <c r="K12" i="8" l="1"/>
  <c r="F2" i="8" l="1"/>
  <c r="L13" i="8"/>
  <c r="L14" i="8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21" i="8" a="1"/>
  <c r="G21" i="8" s="1"/>
  <c r="G22" i="8" a="1"/>
  <c r="G22" i="8" s="1"/>
  <c r="G23" i="8" a="1"/>
  <c r="G23" i="8" s="1"/>
  <c r="G24" i="8" a="1"/>
  <c r="G24" i="8" s="1"/>
  <c r="G25" i="8" a="1"/>
  <c r="G25" i="8" s="1"/>
  <c r="G26" i="8" a="1"/>
  <c r="G26" i="8" s="1"/>
  <c r="G27" i="8" a="1"/>
  <c r="G27" i="8" s="1"/>
  <c r="G28" i="8" a="1"/>
  <c r="G28" i="8" s="1"/>
  <c r="G29" i="8" a="1"/>
  <c r="G29" i="8" s="1"/>
  <c r="G30" i="8" a="1"/>
  <c r="G30" i="8" s="1"/>
  <c r="G31" i="8" a="1"/>
  <c r="G31" i="8" s="1"/>
  <c r="G32" i="8" a="1"/>
  <c r="G32" i="8" s="1"/>
  <c r="G33" i="8" a="1"/>
  <c r="G33" i="8" s="1"/>
  <c r="G34" i="8" a="1"/>
  <c r="G34" i="8" s="1"/>
  <c r="G35" i="8" a="1"/>
  <c r="G35" i="8" s="1"/>
  <c r="G36" i="8" a="1"/>
  <c r="G36" i="8" s="1"/>
  <c r="G37" i="8" a="1"/>
  <c r="G37" i="8" s="1"/>
  <c r="G38" i="8" a="1"/>
  <c r="G38" i="8" s="1"/>
  <c r="G39" i="8" a="1"/>
  <c r="G39" i="8" s="1"/>
  <c r="G40" i="8" a="1"/>
  <c r="G40" i="8" s="1"/>
  <c r="G41" i="8" a="1"/>
  <c r="G41" i="8" s="1"/>
  <c r="G42" i="8" a="1"/>
  <c r="G42" i="8" s="1"/>
  <c r="G43" i="8" a="1"/>
  <c r="G43" i="8" s="1"/>
  <c r="G44" i="8" a="1"/>
  <c r="G44" i="8" s="1"/>
  <c r="G45" i="8" a="1"/>
  <c r="G45" i="8" s="1"/>
  <c r="G46" i="8" a="1"/>
  <c r="G46" i="8" s="1"/>
  <c r="G47" i="8" a="1"/>
  <c r="G47" i="8" s="1"/>
  <c r="G48" i="8" a="1"/>
  <c r="G48" i="8" s="1"/>
  <c r="G49" i="8" a="1"/>
  <c r="G49" i="8" s="1"/>
  <c r="G50" i="8" a="1"/>
  <c r="G50" i="8" s="1"/>
  <c r="G51" i="8" a="1"/>
  <c r="G51" i="8" s="1"/>
  <c r="G52" i="8" a="1"/>
  <c r="G52" i="8" s="1"/>
  <c r="G53" i="8" a="1"/>
  <c r="G53" i="8" s="1"/>
  <c r="G54" i="8" a="1"/>
  <c r="G54" i="8" s="1"/>
  <c r="G55" i="8" a="1"/>
  <c r="G55" i="8" s="1"/>
  <c r="G56" i="8" a="1"/>
  <c r="G56" i="8" s="1"/>
  <c r="G57" i="8" a="1"/>
  <c r="G57" i="8" s="1"/>
  <c r="G58" i="8" a="1"/>
  <c r="G58" i="8" s="1"/>
  <c r="G59" i="8" a="1"/>
  <c r="G59" i="8" s="1"/>
  <c r="G60" i="8" a="1"/>
  <c r="G60" i="8" s="1"/>
  <c r="G61" i="8" a="1"/>
  <c r="G61" i="8" s="1"/>
  <c r="G62" i="8" a="1"/>
  <c r="G62" i="8" s="1"/>
  <c r="G63" i="8" a="1"/>
  <c r="G63" i="8" s="1"/>
  <c r="G64" i="8" a="1"/>
  <c r="G64" i="8" s="1"/>
  <c r="G65" i="8" a="1"/>
  <c r="G65" i="8" s="1"/>
  <c r="G66" i="8" a="1"/>
  <c r="G66" i="8" s="1"/>
  <c r="G67" i="8" a="1"/>
  <c r="G67" i="8" s="1"/>
  <c r="G68" i="8" a="1"/>
  <c r="G68" i="8" s="1"/>
  <c r="G69" i="8" a="1"/>
  <c r="G69" i="8" s="1"/>
  <c r="G70" i="8" a="1"/>
  <c r="G70" i="8" s="1"/>
  <c r="G71" i="8" a="1"/>
  <c r="G71" i="8" s="1"/>
  <c r="G72" i="8" a="1"/>
  <c r="G72" i="8" s="1"/>
  <c r="G73" i="8" a="1"/>
  <c r="G73" i="8" s="1"/>
  <c r="G74" i="8" a="1"/>
  <c r="G74" i="8" s="1"/>
  <c r="G75" i="8" a="1"/>
  <c r="G75" i="8" s="1"/>
  <c r="G76" i="8" a="1"/>
  <c r="G76" i="8" s="1"/>
  <c r="G77" i="8" a="1"/>
  <c r="G77" i="8" s="1"/>
  <c r="G78" i="8" a="1"/>
  <c r="G78" i="8" s="1"/>
  <c r="G79" i="8" a="1"/>
  <c r="G79" i="8" s="1"/>
  <c r="G80" i="8" a="1"/>
  <c r="G80" i="8" s="1"/>
  <c r="G81" i="8" a="1"/>
  <c r="G81" i="8" s="1"/>
  <c r="G82" i="8" a="1"/>
  <c r="G82" i="8" s="1"/>
  <c r="G83" i="8" a="1"/>
  <c r="G83" i="8" s="1"/>
  <c r="G84" i="8" a="1"/>
  <c r="G84" i="8" s="1"/>
  <c r="G85" i="8" a="1"/>
  <c r="G85" i="8" s="1"/>
  <c r="G86" i="8" a="1"/>
  <c r="G86" i="8" s="1"/>
  <c r="G87" i="8" a="1"/>
  <c r="G87" i="8" s="1"/>
  <c r="G88" i="8" a="1"/>
  <c r="G88" i="8" s="1"/>
  <c r="G89" i="8" a="1"/>
  <c r="G89" i="8" s="1"/>
  <c r="G90" i="8" a="1"/>
  <c r="G90" i="8" s="1"/>
  <c r="G91" i="8" a="1"/>
  <c r="G91" i="8" s="1"/>
  <c r="G92" i="8" a="1"/>
  <c r="G92" i="8" s="1"/>
  <c r="G93" i="8" a="1"/>
  <c r="G93" i="8" s="1"/>
  <c r="G94" i="8" a="1"/>
  <c r="G94" i="8" s="1"/>
  <c r="G95" i="8" a="1"/>
  <c r="G95" i="8" s="1"/>
  <c r="G96" i="8" a="1"/>
  <c r="G96" i="8" s="1"/>
  <c r="G97" i="8" a="1"/>
  <c r="G97" i="8" s="1"/>
  <c r="G98" i="8" a="1"/>
  <c r="G98" i="8" s="1"/>
  <c r="G99" i="8" a="1"/>
  <c r="G99" i="8" s="1"/>
  <c r="G100" i="8" a="1"/>
  <c r="G100" i="8" s="1"/>
  <c r="G101" i="8" a="1"/>
  <c r="G101" i="8" s="1"/>
  <c r="G102" i="8" a="1"/>
  <c r="G102" i="8" s="1"/>
  <c r="G103" i="8" a="1"/>
  <c r="G103" i="8" s="1"/>
  <c r="G104" i="8" a="1"/>
  <c r="G104" i="8" s="1"/>
  <c r="G105" i="8" a="1"/>
  <c r="G105" i="8" s="1"/>
  <c r="G106" i="8" a="1"/>
  <c r="G106" i="8" s="1"/>
  <c r="G107" i="8" a="1"/>
  <c r="G107" i="8" s="1"/>
  <c r="G108" i="8" a="1"/>
  <c r="G108" i="8" s="1"/>
  <c r="G109" i="8" a="1"/>
  <c r="G109" i="8" s="1"/>
  <c r="G110" i="8" a="1"/>
  <c r="G110" i="8" s="1"/>
  <c r="G111" i="8" a="1"/>
  <c r="G111" i="8" s="1"/>
  <c r="G112" i="8" a="1"/>
  <c r="G112" i="8" s="1"/>
  <c r="G113" i="8" a="1"/>
  <c r="G113" i="8" s="1"/>
  <c r="G114" i="8" a="1"/>
  <c r="G114" i="8" s="1"/>
  <c r="G115" i="8" a="1"/>
  <c r="G115" i="8" s="1"/>
  <c r="G116" i="8" a="1"/>
  <c r="G116" i="8" s="1"/>
  <c r="G117" i="8" a="1"/>
  <c r="G117" i="8" s="1"/>
  <c r="G118" i="8" a="1"/>
  <c r="G118" i="8" s="1"/>
  <c r="G119" i="8" a="1"/>
  <c r="G119" i="8" s="1"/>
  <c r="G120" i="8" a="1"/>
  <c r="G120" i="8" s="1"/>
  <c r="G121" i="8" a="1"/>
  <c r="G121" i="8" s="1"/>
  <c r="G122" i="8" a="1"/>
  <c r="G122" i="8" s="1"/>
  <c r="G123" i="8" a="1"/>
  <c r="G123" i="8" s="1"/>
  <c r="G124" i="8" a="1"/>
  <c r="G124" i="8" s="1"/>
  <c r="G125" i="8" a="1"/>
  <c r="G125" i="8" s="1"/>
  <c r="G126" i="8" a="1"/>
  <c r="G126" i="8" s="1"/>
  <c r="G127" i="8" a="1"/>
  <c r="G127" i="8" s="1"/>
  <c r="G128" i="8" a="1"/>
  <c r="G128" i="8" s="1"/>
  <c r="G129" i="8" a="1"/>
  <c r="G129" i="8" s="1"/>
  <c r="G130" i="8" a="1"/>
  <c r="G130" i="8" s="1"/>
  <c r="G131" i="8" a="1"/>
  <c r="G131" i="8" s="1"/>
  <c r="G132" i="8" a="1"/>
  <c r="G132" i="8" s="1"/>
  <c r="G133" i="8" a="1"/>
  <c r="G133" i="8" s="1"/>
  <c r="G134" i="8" a="1"/>
  <c r="G134" i="8" s="1"/>
  <c r="G135" i="8" a="1"/>
  <c r="G135" i="8" s="1"/>
  <c r="G136" i="8" a="1"/>
  <c r="G136" i="8" s="1"/>
  <c r="G137" i="8" a="1"/>
  <c r="G137" i="8" s="1"/>
  <c r="G138" i="8" a="1"/>
  <c r="G138" i="8" s="1"/>
  <c r="G139" i="8" a="1"/>
  <c r="G139" i="8" s="1"/>
  <c r="G140" i="8" a="1"/>
  <c r="G140" i="8" s="1"/>
  <c r="G141" i="8" a="1"/>
  <c r="G141" i="8" s="1"/>
  <c r="G142" i="8" a="1"/>
  <c r="G142" i="8" s="1"/>
  <c r="G143" i="8" a="1"/>
  <c r="G143" i="8" s="1"/>
  <c r="G144" i="8" a="1"/>
  <c r="G144" i="8" s="1"/>
  <c r="G145" i="8" a="1"/>
  <c r="G145" i="8" s="1"/>
  <c r="G146" i="8" a="1"/>
  <c r="G146" i="8" s="1"/>
  <c r="G147" i="8" a="1"/>
  <c r="G147" i="8" s="1"/>
  <c r="G148" i="8" a="1"/>
  <c r="G148" i="8" s="1"/>
  <c r="G149" i="8" a="1"/>
  <c r="G149" i="8" s="1"/>
  <c r="G150" i="8" a="1"/>
  <c r="G150" i="8" s="1"/>
  <c r="G151" i="8" a="1"/>
  <c r="G151" i="8" s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K14" i="8" l="1"/>
  <c r="J146" i="8" s="1"/>
  <c r="J6" i="8"/>
  <c r="K13" i="8"/>
  <c r="J65" i="8" l="1"/>
  <c r="M12" i="8"/>
  <c r="H2" i="8" s="1"/>
  <c r="I2" i="8" s="1"/>
  <c r="J107" i="8"/>
  <c r="J116" i="8"/>
  <c r="J126" i="8"/>
  <c r="J139" i="8"/>
  <c r="J133" i="8"/>
  <c r="J124" i="8"/>
  <c r="J109" i="8"/>
  <c r="J149" i="8"/>
  <c r="J120" i="8"/>
  <c r="J110" i="8"/>
  <c r="J113" i="8"/>
  <c r="J121" i="8"/>
  <c r="J123" i="8"/>
  <c r="J103" i="8"/>
  <c r="J112" i="8"/>
  <c r="J150" i="8"/>
  <c r="J148" i="8"/>
  <c r="J132" i="8"/>
  <c r="J125" i="8"/>
  <c r="J22" i="8"/>
  <c r="J106" i="8"/>
  <c r="J118" i="8"/>
  <c r="J104" i="8"/>
  <c r="J141" i="8"/>
  <c r="J108" i="8"/>
  <c r="J136" i="8"/>
  <c r="J23" i="8"/>
  <c r="J129" i="8"/>
  <c r="J14" i="8"/>
  <c r="J135" i="8"/>
  <c r="J114" i="8"/>
  <c r="J102" i="8"/>
  <c r="J145" i="8"/>
  <c r="J128" i="8"/>
  <c r="J140" i="8"/>
  <c r="J130" i="8"/>
  <c r="J115" i="8"/>
  <c r="J151" i="8"/>
  <c r="J143" i="8"/>
  <c r="J147" i="8"/>
  <c r="J138" i="8"/>
  <c r="J131" i="8"/>
  <c r="J117" i="8"/>
  <c r="J105" i="8"/>
  <c r="J122" i="8"/>
  <c r="J137" i="8"/>
  <c r="J144" i="8"/>
  <c r="J111" i="8"/>
  <c r="J142" i="8"/>
  <c r="J127" i="8"/>
  <c r="J134" i="8"/>
  <c r="J119" i="8"/>
  <c r="J8" i="8"/>
  <c r="J63" i="8"/>
  <c r="J78" i="8"/>
  <c r="J98" i="8"/>
  <c r="J31" i="8"/>
  <c r="J87" i="8"/>
  <c r="J59" i="8"/>
  <c r="J46" i="8"/>
  <c r="J69" i="8"/>
  <c r="J20" i="8"/>
  <c r="J61" i="8"/>
  <c r="J44" i="8"/>
  <c r="J74" i="8"/>
  <c r="J42" i="8"/>
  <c r="J91" i="8"/>
  <c r="J50" i="8"/>
  <c r="J25" i="8"/>
  <c r="J70" i="8"/>
  <c r="J48" i="8"/>
  <c r="J67" i="8"/>
  <c r="J37" i="8"/>
  <c r="J3" i="8"/>
  <c r="J5" i="8"/>
  <c r="J7" i="8"/>
  <c r="J54" i="8"/>
  <c r="J66" i="8"/>
  <c r="J34" i="8"/>
  <c r="J58" i="8"/>
  <c r="J80" i="8"/>
  <c r="J15" i="8"/>
  <c r="J73" i="8"/>
  <c r="J17" i="8"/>
  <c r="J86" i="8"/>
  <c r="J57" i="8"/>
  <c r="J81" i="8"/>
  <c r="J93" i="8"/>
  <c r="J71" i="8"/>
  <c r="J83" i="8"/>
  <c r="J60" i="8"/>
  <c r="J72" i="8"/>
  <c r="J96" i="8"/>
  <c r="M13" i="8"/>
  <c r="J92" i="8"/>
  <c r="J85" i="8"/>
  <c r="J43" i="8"/>
  <c r="J82" i="8"/>
  <c r="J94" i="8"/>
  <c r="J13" i="8"/>
  <c r="J89" i="8"/>
  <c r="J28" i="8"/>
  <c r="J19" i="8"/>
  <c r="J76" i="8"/>
  <c r="J52" i="8"/>
  <c r="J95" i="8"/>
  <c r="J26" i="8"/>
  <c r="J90" i="8"/>
  <c r="J39" i="8"/>
  <c r="J100" i="8"/>
  <c r="J97" i="8"/>
  <c r="J30" i="8"/>
  <c r="J88" i="8"/>
  <c r="J4" i="8"/>
  <c r="J51" i="8"/>
  <c r="J101" i="8"/>
  <c r="J41" i="8"/>
  <c r="J32" i="8"/>
  <c r="J99" i="8"/>
  <c r="J77" i="8"/>
  <c r="J49" i="8"/>
  <c r="J16" i="8"/>
  <c r="J53" i="8"/>
  <c r="J56" i="8"/>
  <c r="J9" i="8"/>
  <c r="J21" i="8"/>
  <c r="J45" i="8"/>
  <c r="J11" i="8"/>
  <c r="J35" i="8"/>
  <c r="J47" i="8"/>
  <c r="J12" i="8"/>
  <c r="J24" i="8"/>
  <c r="J36" i="8"/>
  <c r="J55" i="8"/>
  <c r="J27" i="8"/>
  <c r="J62" i="8"/>
  <c r="J18" i="8"/>
  <c r="J64" i="8"/>
  <c r="J33" i="8"/>
  <c r="J40" i="8"/>
  <c r="J79" i="8"/>
  <c r="J84" i="8"/>
  <c r="J10" i="8"/>
  <c r="J38" i="8"/>
  <c r="J29" i="8"/>
  <c r="J75" i="8"/>
  <c r="J68" i="8"/>
  <c r="H66" i="8" l="1"/>
  <c r="I66" i="8" s="1"/>
  <c r="H114" i="8"/>
  <c r="I114" i="8" s="1"/>
  <c r="H126" i="8"/>
  <c r="I126" i="8" s="1"/>
  <c r="H78" i="8"/>
  <c r="I78" i="8" s="1"/>
  <c r="H138" i="8"/>
  <c r="I138" i="8" s="1"/>
  <c r="H6" i="8"/>
  <c r="I6" i="8" s="1"/>
  <c r="H18" i="8"/>
  <c r="I18" i="8" s="1"/>
  <c r="H30" i="8"/>
  <c r="I30" i="8" s="1"/>
  <c r="H42" i="8"/>
  <c r="I42" i="8" s="1"/>
  <c r="H54" i="8"/>
  <c r="I54" i="8" s="1"/>
  <c r="H90" i="8"/>
  <c r="I90" i="8" s="1"/>
  <c r="H102" i="8"/>
  <c r="I102" i="8" s="1"/>
  <c r="H150" i="8"/>
  <c r="I150" i="8" s="1"/>
  <c r="H20" i="8"/>
  <c r="I20" i="8" s="1"/>
  <c r="H56" i="8"/>
  <c r="I56" i="8" s="1"/>
  <c r="H92" i="8"/>
  <c r="I92" i="8" s="1"/>
  <c r="H128" i="8"/>
  <c r="I128" i="8" s="1"/>
  <c r="H9" i="8"/>
  <c r="I9" i="8" s="1"/>
  <c r="H21" i="8"/>
  <c r="I21" i="8" s="1"/>
  <c r="H45" i="8"/>
  <c r="I45" i="8" s="1"/>
  <c r="H57" i="8"/>
  <c r="I57" i="8" s="1"/>
  <c r="H81" i="8"/>
  <c r="I81" i="8" s="1"/>
  <c r="H93" i="8"/>
  <c r="I93" i="8" s="1"/>
  <c r="H117" i="8"/>
  <c r="I117" i="8" s="1"/>
  <c r="H129" i="8"/>
  <c r="I129" i="8" s="1"/>
  <c r="H8" i="8"/>
  <c r="I8" i="8" s="1"/>
  <c r="H131" i="8"/>
  <c r="I131" i="8" s="1"/>
  <c r="H85" i="8"/>
  <c r="I85" i="8" s="1"/>
  <c r="H72" i="8"/>
  <c r="I72" i="8" s="1"/>
  <c r="H14" i="8"/>
  <c r="I14" i="8" s="1"/>
  <c r="H70" i="8"/>
  <c r="I70" i="8" s="1"/>
  <c r="H12" i="8"/>
  <c r="I12" i="8" s="1"/>
  <c r="H151" i="8"/>
  <c r="I151" i="8" s="1"/>
  <c r="H17" i="8"/>
  <c r="I17" i="8" s="1"/>
  <c r="H40" i="8"/>
  <c r="I40" i="8" s="1"/>
  <c r="H63" i="8"/>
  <c r="I63" i="8" s="1"/>
  <c r="H125" i="8"/>
  <c r="I125" i="8" s="1"/>
  <c r="H15" i="8"/>
  <c r="I15" i="8" s="1"/>
  <c r="H76" i="8"/>
  <c r="I76" i="8" s="1"/>
  <c r="H35" i="8"/>
  <c r="I35" i="8" s="1"/>
  <c r="H43" i="8"/>
  <c r="I43" i="8" s="1"/>
  <c r="H68" i="8"/>
  <c r="I68" i="8" s="1"/>
  <c r="H122" i="8"/>
  <c r="I122" i="8" s="1"/>
  <c r="H120" i="8"/>
  <c r="I120" i="8" s="1"/>
  <c r="H60" i="8"/>
  <c r="I60" i="8" s="1"/>
  <c r="H116" i="8"/>
  <c r="I116" i="8" s="1"/>
  <c r="H58" i="8"/>
  <c r="I58" i="8" s="1"/>
  <c r="H141" i="8"/>
  <c r="I141" i="8" s="1"/>
  <c r="H149" i="8"/>
  <c r="I149" i="8" s="1"/>
  <c r="H5" i="8"/>
  <c r="I5" i="8" s="1"/>
  <c r="H28" i="8"/>
  <c r="I28" i="8" s="1"/>
  <c r="H51" i="8"/>
  <c r="I51" i="8" s="1"/>
  <c r="H4" i="8"/>
  <c r="I4" i="8" s="1"/>
  <c r="H33" i="8"/>
  <c r="I33" i="8" s="1"/>
  <c r="H62" i="8"/>
  <c r="I62" i="8" s="1"/>
  <c r="H118" i="8"/>
  <c r="I118" i="8" s="1"/>
  <c r="H55" i="8"/>
  <c r="I55" i="8" s="1"/>
  <c r="H47" i="8"/>
  <c r="I47" i="8" s="1"/>
  <c r="H105" i="8"/>
  <c r="I105" i="8" s="1"/>
  <c r="H137" i="8"/>
  <c r="I137" i="8" s="1"/>
  <c r="H16" i="8"/>
  <c r="I16" i="8" s="1"/>
  <c r="H39" i="8"/>
  <c r="I39" i="8" s="1"/>
  <c r="H148" i="8"/>
  <c r="I148" i="8" s="1"/>
  <c r="H89" i="8"/>
  <c r="I89" i="8" s="1"/>
  <c r="H100" i="8"/>
  <c r="I100" i="8" s="1"/>
  <c r="H88" i="8"/>
  <c r="I88" i="8" s="1"/>
  <c r="H133" i="8"/>
  <c r="I133" i="8" s="1"/>
  <c r="H139" i="8"/>
  <c r="I139" i="8" s="1"/>
  <c r="H75" i="8"/>
  <c r="I75" i="8" s="1"/>
  <c r="H34" i="8"/>
  <c r="I34" i="8" s="1"/>
  <c r="H109" i="8"/>
  <c r="I109" i="8" s="1"/>
  <c r="H107" i="8"/>
  <c r="I107" i="8" s="1"/>
  <c r="H49" i="8"/>
  <c r="I49" i="8" s="1"/>
  <c r="H82" i="8"/>
  <c r="I82" i="8" s="1"/>
  <c r="H36" i="8"/>
  <c r="I36" i="8" s="1"/>
  <c r="H69" i="8"/>
  <c r="I69" i="8" s="1"/>
  <c r="H27" i="8"/>
  <c r="I27" i="8" s="1"/>
  <c r="H136" i="8"/>
  <c r="I136" i="8" s="1"/>
  <c r="H3" i="8"/>
  <c r="I3" i="8" s="1"/>
  <c r="M16" i="8" s="1"/>
  <c r="H135" i="8"/>
  <c r="I135" i="8" s="1"/>
  <c r="H77" i="8"/>
  <c r="I77" i="8" s="1"/>
  <c r="H110" i="8"/>
  <c r="I110" i="8" s="1"/>
  <c r="H104" i="8"/>
  <c r="I104" i="8" s="1"/>
  <c r="H38" i="8"/>
  <c r="I38" i="8" s="1"/>
  <c r="H79" i="8"/>
  <c r="I79" i="8" s="1"/>
  <c r="H23" i="8"/>
  <c r="I23" i="8" s="1"/>
  <c r="H22" i="8"/>
  <c r="I22" i="8" s="1"/>
  <c r="H32" i="8"/>
  <c r="I32" i="8" s="1"/>
  <c r="H95" i="8"/>
  <c r="I95" i="8" s="1"/>
  <c r="H71" i="8"/>
  <c r="I71" i="8" s="1"/>
  <c r="H24" i="8"/>
  <c r="I24" i="8" s="1"/>
  <c r="H113" i="8"/>
  <c r="I113" i="8" s="1"/>
  <c r="H146" i="8"/>
  <c r="I146" i="8" s="1"/>
  <c r="H111" i="8"/>
  <c r="I111" i="8" s="1"/>
  <c r="H41" i="8"/>
  <c r="I41" i="8" s="1"/>
  <c r="H134" i="8"/>
  <c r="I134" i="8" s="1"/>
  <c r="H29" i="8"/>
  <c r="I29" i="8" s="1"/>
  <c r="H11" i="8"/>
  <c r="I11" i="8" s="1"/>
  <c r="H144" i="8"/>
  <c r="I144" i="8" s="1"/>
  <c r="H97" i="8"/>
  <c r="I97" i="8" s="1"/>
  <c r="H84" i="8"/>
  <c r="I84" i="8" s="1"/>
  <c r="H26" i="8"/>
  <c r="I26" i="8" s="1"/>
  <c r="H59" i="8"/>
  <c r="I59" i="8" s="1"/>
  <c r="H103" i="8"/>
  <c r="I103" i="8" s="1"/>
  <c r="H101" i="8"/>
  <c r="I101" i="8" s="1"/>
  <c r="H124" i="8"/>
  <c r="I124" i="8" s="1"/>
  <c r="H147" i="8"/>
  <c r="I147" i="8" s="1"/>
  <c r="H123" i="8"/>
  <c r="I123" i="8" s="1"/>
  <c r="H65" i="8"/>
  <c r="I65" i="8" s="1"/>
  <c r="H46" i="8"/>
  <c r="I46" i="8" s="1"/>
  <c r="H74" i="8"/>
  <c r="I74" i="8" s="1"/>
  <c r="H10" i="8"/>
  <c r="I10" i="8" s="1"/>
  <c r="H132" i="8"/>
  <c r="I132" i="8" s="1"/>
  <c r="H19" i="8"/>
  <c r="I19" i="8" s="1"/>
  <c r="H142" i="8"/>
  <c r="I142" i="8" s="1"/>
  <c r="H48" i="8"/>
  <c r="I48" i="8" s="1"/>
  <c r="H127" i="8"/>
  <c r="I127" i="8" s="1"/>
  <c r="H13" i="8"/>
  <c r="I13" i="8" s="1"/>
  <c r="H112" i="8"/>
  <c r="I112" i="8" s="1"/>
  <c r="H53" i="8"/>
  <c r="I53" i="8" s="1"/>
  <c r="H31" i="8"/>
  <c r="I31" i="8" s="1"/>
  <c r="H50" i="8"/>
  <c r="I50" i="8" s="1"/>
  <c r="H86" i="8"/>
  <c r="I86" i="8" s="1"/>
  <c r="H130" i="8"/>
  <c r="I130" i="8" s="1"/>
  <c r="H73" i="8"/>
  <c r="I73" i="8" s="1"/>
  <c r="H140" i="8"/>
  <c r="I140" i="8" s="1"/>
  <c r="H80" i="8"/>
  <c r="I80" i="8" s="1"/>
  <c r="H64" i="8"/>
  <c r="I64" i="8" s="1"/>
  <c r="H143" i="8"/>
  <c r="I143" i="8" s="1"/>
  <c r="H121" i="8"/>
  <c r="I121" i="8" s="1"/>
  <c r="H7" i="8"/>
  <c r="I7" i="8" s="1"/>
  <c r="H119" i="8"/>
  <c r="I119" i="8" s="1"/>
  <c r="H37" i="8"/>
  <c r="I37" i="8" s="1"/>
  <c r="H115" i="8"/>
  <c r="I115" i="8" s="1"/>
  <c r="H67" i="8"/>
  <c r="I67" i="8" s="1"/>
  <c r="H98" i="8"/>
  <c r="I98" i="8" s="1"/>
  <c r="H94" i="8"/>
  <c r="I94" i="8" s="1"/>
  <c r="H83" i="8"/>
  <c r="I83" i="8" s="1"/>
  <c r="H52" i="8"/>
  <c r="I52" i="8" s="1"/>
  <c r="H91" i="8"/>
  <c r="I91" i="8" s="1"/>
  <c r="H145" i="8"/>
  <c r="I145" i="8" s="1"/>
  <c r="H108" i="8"/>
  <c r="I108" i="8" s="1"/>
  <c r="H44" i="8"/>
  <c r="I44" i="8" s="1"/>
  <c r="H61" i="8"/>
  <c r="I61" i="8" s="1"/>
  <c r="H106" i="8"/>
  <c r="I106" i="8" s="1"/>
  <c r="H99" i="8"/>
  <c r="I99" i="8" s="1"/>
  <c r="H96" i="8"/>
  <c r="I96" i="8" s="1"/>
  <c r="H25" i="8"/>
  <c r="I25" i="8" s="1"/>
  <c r="H87" i="8"/>
  <c r="I87" i="8" s="1"/>
  <c r="L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F32D18-C8CD-4BE9-B4DC-EAC474ADDC4B}" keepAlive="1" name="Query - iris" description="Connection to the 'iris' query in the workbook." type="5" refreshedVersion="6" background="1">
    <dbPr connection="Provider=Microsoft.Mashup.OleDb.1;Data Source=$Workbook$;Location=iris;Extended Properties=&quot;&quot;" command="SELECT * FROM [iris]"/>
  </connection>
  <connection id="2" xr16:uid="{31551D76-C3A7-4CEC-971C-1CFCAC884E7A}" keepAlive="1" name="Query - iris (2)" description="Connection to the 'iris (2)' query in the workbook." type="5" refreshedVersion="6" background="1">
    <dbPr connection="Provider=Microsoft.Mashup.OleDb.1;Data Source=$Workbook$;Location=iris (2);Extended Properties=&quot;&quot;" command="SELECT * FROM [iri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<sst xmlns="http://schemas.openxmlformats.org/spreadsheetml/2006/main" count="213" uniqueCount="57">
  <si>
    <t>x1</t>
  </si>
  <si>
    <t>x2</t>
  </si>
  <si>
    <t>x3</t>
  </si>
  <si>
    <t>x4</t>
  </si>
  <si>
    <t>Iris-setosa</t>
  </si>
  <si>
    <t>Iris-versicolor</t>
  </si>
  <si>
    <t>Iris-virginica</t>
  </si>
  <si>
    <t>iris type</t>
  </si>
  <si>
    <t>y</t>
  </si>
  <si>
    <t>b</t>
  </si>
  <si>
    <t>w1</t>
  </si>
  <si>
    <t>w2</t>
  </si>
  <si>
    <t>w3</t>
  </si>
  <si>
    <t>w4</t>
  </si>
  <si>
    <t>Numerical prediction</t>
  </si>
  <si>
    <r>
      <t>МУМНОЖ</t>
    </r>
    <r>
      <rPr>
        <sz val="11"/>
        <color theme="1"/>
        <rFont val="Calibri"/>
        <family val="2"/>
        <scheme val="minor"/>
      </rPr>
      <t xml:space="preserve"> перемножает строку признаков на столбец весов</t>
    </r>
    <r>
      <rPr>
        <sz val="10"/>
        <color theme="1"/>
        <rFont val="Arial Unicode MS"/>
      </rPr>
      <t xml:space="preserve"> Потом добавляется b.</t>
    </r>
  </si>
  <si>
    <t>mean</t>
  </si>
  <si>
    <t>sample number</t>
  </si>
  <si>
    <t>cutoff</t>
  </si>
  <si>
    <t>P = w1*x1 + w2*x2 + w3*x3 + w4*x4 + b</t>
  </si>
  <si>
    <t>Нужно:</t>
  </si>
  <si>
    <r>
      <t xml:space="preserve">1. найти среднее значение </t>
    </r>
    <r>
      <rPr>
        <sz val="10"/>
        <color theme="1"/>
        <rFont val="Arial Unicode MS"/>
      </rPr>
      <t>P</t>
    </r>
    <r>
      <rPr>
        <sz val="11"/>
        <color theme="1"/>
        <rFont val="Calibri"/>
        <family val="2"/>
        <scheme val="minor"/>
      </rPr>
      <t xml:space="preserve"> для каждого класса;</t>
    </r>
  </si>
  <si>
    <t>2. найти границы между классами;</t>
  </si>
  <si>
    <t>3. по этим границам определять тип ириса.</t>
  </si>
  <si>
    <t>x1 x2 x3 x4</t>
  </si>
  <si>
    <t>↓</t>
  </si>
  <si>
    <t>Type classification</t>
  </si>
  <si>
    <t>Difference</t>
  </si>
  <si>
    <t>Difference =</t>
  </si>
  <si>
    <t>Общее количество ошибок классификации.</t>
  </si>
  <si>
    <t>LINEST</t>
  </si>
  <si>
    <t>коэффициенты</t>
  </si>
  <si>
    <t>числовое prediction</t>
  </si>
  <si>
    <t>тип класса</t>
  </si>
  <si>
    <t>оценка ошибок</t>
  </si>
  <si>
    <t>веса признаков и intercept (b)</t>
  </si>
  <si>
    <t>границы</t>
  </si>
  <si>
    <t>среднее prediction классов</t>
  </si>
  <si>
    <t>P=−0.1097x1−0.0442x2+0.2270x3+0.6099x4+0.1921</t>
  </si>
  <si>
    <t>Inter-group variance</t>
  </si>
  <si>
    <t>Within-group variance</t>
  </si>
  <si>
    <t>inter/within ratio</t>
  </si>
  <si>
    <t>межгрупповая дисперсия</t>
  </si>
  <si>
    <t>Within-g variances</t>
  </si>
  <si>
    <t>внутригрупповая дисперсия</t>
  </si>
  <si>
    <t>соотношение «между/внутри»</t>
  </si>
  <si>
    <t>МАКСИМИЗИРОВАТЬ</t>
  </si>
  <si>
    <t>МИНИМИЗИРОВАТЬ</t>
  </si>
  <si>
    <t>Чем больше - тем лучше разделяются классы</t>
  </si>
  <si>
    <t>Obtained-by-Solver</t>
  </si>
  <si>
    <t>Optimized by LINEST</t>
  </si>
  <si>
    <t>Inter-group variance уменьшился после Solver, это значит что средние классов стали ближе друг к другу то есть глобальное разделение ухудшилось</t>
  </si>
  <si>
    <t>НО within-group variance уменьшился еще сильнее. Тогда точки внутри классов стали более компактными</t>
  </si>
  <si>
    <t>Не обязательно:</t>
  </si>
  <si>
    <t>делать классы максимально далёкими.</t>
  </si>
  <si>
    <t>Иногда лучше:</t>
  </si>
  <si>
    <t>сделать каждый класс более плотным.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</si>
</sst>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9794-CF5C-44C4-BEC4-A017D876471F}">
  <dimension ref="A1:P151"/>
  <sheetViews>
    <sheetView tabSelected="1" topLeftCell="H1" zoomScale="85" zoomScaleNormal="85" workbookViewId="0">
      <selection activeCell="M9" sqref="M9"/>
    </sheetView>
  </sheetViews>
  <sheetFormatPr defaultRowHeight="15"/>
  <cols>
    <col min="1" max="1" width="13.28515625" bestFit="1" customWidth="1"/>
    <col min="6" max="6" width="12" customWidth="1"/>
    <col min="7" max="7" width="20.28515625" customWidth="1"/>
    <col min="8" max="8" width="18.140625" customWidth="1"/>
    <col min="9" max="9" width="13.140625" customWidth="1"/>
    <col min="10" max="10" width="19" customWidth="1"/>
    <col min="11" max="11" width="21.42578125" customWidth="1"/>
    <col min="12" max="12" width="19.7109375" customWidth="1"/>
    <col min="13" max="13" width="18.7109375" customWidth="1"/>
    <col min="14" max="14" width="19.28515625" customWidth="1"/>
    <col min="15" max="15" width="14.28515625" customWidth="1"/>
  </cols>
  <sheetData>
    <row r="1" spans="1:14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t="s">
        <v>14</v>
      </c>
      <c r="H1" t="s">
        <v>26</v>
      </c>
      <c r="I1" t="s">
        <v>27</v>
      </c>
      <c r="J1" t="s">
        <v>43</v>
      </c>
      <c r="K1">
        <v>0</v>
      </c>
      <c r="L1" t="s">
        <v>4</v>
      </c>
      <c r="M1" t="s">
        <v>38</v>
      </c>
    </row>
    <row r="2" spans="1:14">
      <c r="A2" t="s">
        <v>4</v>
      </c>
      <c r="B2">
        <v>5.0999999999999996</v>
      </c>
      <c r="C2">
        <v>3.5</v>
      </c>
      <c r="D2">
        <v>1.4</v>
      </c>
      <c r="E2">
        <v>0.2</v>
      </c>
      <c r="F2">
        <f>IF(A2=$L$1,$K$1,IF(A2=$L$2,$K$2,$K$3))</f>
        <v>0</v>
      </c>
      <c r="G2" cm="1">
        <f t="array" ref="G2">MMULT(B2:E2,M$6:M$9)+M$5</f>
        <v>-0.25034064433093789</v>
      </c>
      <c r="H2" t="str">
        <f>IF(G2&lt;$M$12,L$1,IF(G2&lt;$M$13,L$2,L$3))</f>
        <v>Iris-setosa</v>
      </c>
      <c r="I2">
        <f>IF(A2=H2,0,1)</f>
        <v>0</v>
      </c>
      <c r="J2">
        <f>IF(F2=K$1,(G2-K$12)^2,IF(F2=K$2,(G2-K$13)^2,(G2-K$14)^2))</f>
        <v>1.2113542779876359E-3</v>
      </c>
      <c r="K2">
        <v>1</v>
      </c>
      <c r="L2" t="s">
        <v>5</v>
      </c>
    </row>
    <row r="3" spans="1:14">
      <c r="A3" t="s">
        <v>4</v>
      </c>
      <c r="B3">
        <v>4.9000000000000004</v>
      </c>
      <c r="C3">
        <v>3</v>
      </c>
      <c r="D3">
        <v>1.4</v>
      </c>
      <c r="E3">
        <v>0.2</v>
      </c>
      <c r="F3">
        <f t="shared" ref="F3:F66" si="0">IF(A3=$L$1,$K$1,IF(A3=$L$2,$K$2,$K$3))</f>
        <v>0</v>
      </c>
      <c r="G3" cm="1">
        <f t="array" ref="G3">MMULT(B3:E3,M$6:M$9)+M$5</f>
        <v>-0.18079795360669987</v>
      </c>
      <c r="H3" t="str">
        <f t="shared" ref="H3:H66" si="1">IF(G3&lt;$M$12,L$1,IF(G3&lt;$M$13,L$2,L$3))</f>
        <v>Iris-setosa</v>
      </c>
      <c r="I3">
        <f t="shared" ref="I3:I66" si="2">IF(A3=H3,0,1)</f>
        <v>0</v>
      </c>
      <c r="J3">
        <f t="shared" ref="J3:J66" si="3">IF(F3=K$1,(G3-K$12)^2,IF(F3=K$2,(G3-K$13)^2,(G3-K$14)^2))</f>
        <v>1.2067408390715559E-3</v>
      </c>
      <c r="K3">
        <v>2</v>
      </c>
      <c r="L3" t="s">
        <v>6</v>
      </c>
    </row>
    <row r="4" spans="1:14">
      <c r="A4" t="s">
        <v>4</v>
      </c>
      <c r="B4">
        <v>4.7</v>
      </c>
      <c r="C4">
        <v>3.2</v>
      </c>
      <c r="D4">
        <v>1.3</v>
      </c>
      <c r="E4">
        <v>0.2</v>
      </c>
      <c r="F4">
        <f t="shared" si="0"/>
        <v>0</v>
      </c>
      <c r="G4" cm="1">
        <f t="array" ref="G4">MMULT(B4:E4,M$6:M$9)+M$5</f>
        <v>-0.20780663486454232</v>
      </c>
      <c r="H4" t="str">
        <f t="shared" si="1"/>
        <v>Iris-setosa</v>
      </c>
      <c r="I4">
        <f t="shared" si="2"/>
        <v>0</v>
      </c>
      <c r="J4">
        <f t="shared" si="3"/>
        <v>5.9745081685174302E-5</v>
      </c>
      <c r="K4" t="s">
        <v>35</v>
      </c>
      <c r="M4" t="s">
        <v>49</v>
      </c>
      <c r="N4" t="s">
        <v>50</v>
      </c>
    </row>
    <row r="5" spans="1:14">
      <c r="A5" t="s">
        <v>4</v>
      </c>
      <c r="B5">
        <v>4.5999999999999996</v>
      </c>
      <c r="C5">
        <v>3.1</v>
      </c>
      <c r="D5">
        <v>1.5</v>
      </c>
      <c r="E5">
        <v>0.2</v>
      </c>
      <c r="F5">
        <f t="shared" si="0"/>
        <v>0</v>
      </c>
      <c r="G5" cm="1">
        <f t="array" ref="G5">MMULT(B5:E5,M$6:M$9)+M$5</f>
        <v>-0.15784760430405687</v>
      </c>
      <c r="H5" t="str">
        <f t="shared" si="1"/>
        <v>Iris-setosa</v>
      </c>
      <c r="I5">
        <f t="shared" si="2"/>
        <v>0</v>
      </c>
      <c r="J5">
        <f t="shared" si="3"/>
        <v>3.3279658972310664E-3</v>
      </c>
      <c r="K5" t="s">
        <v>9</v>
      </c>
      <c r="L5">
        <v>5</v>
      </c>
      <c r="M5">
        <v>0.19208399434507895</v>
      </c>
      <c r="N5">
        <v>0.19208399482814353</v>
      </c>
    </row>
    <row r="6" spans="1:14">
      <c r="A6" t="s">
        <v>4</v>
      </c>
      <c r="B6">
        <v>5</v>
      </c>
      <c r="C6">
        <v>3.6</v>
      </c>
      <c r="D6">
        <v>1.4</v>
      </c>
      <c r="E6">
        <v>0.2</v>
      </c>
      <c r="F6">
        <f t="shared" si="0"/>
        <v>0</v>
      </c>
      <c r="G6" cm="1">
        <f t="array" ref="G6">MMULT(B6:E6,M$6:M$9)+M$5</f>
        <v>-0.25574366707722401</v>
      </c>
      <c r="H6" t="str">
        <f t="shared" si="1"/>
        <v>Iris-setosa</v>
      </c>
      <c r="I6">
        <f t="shared" si="2"/>
        <v>0</v>
      </c>
      <c r="J6">
        <f t="shared" si="3"/>
        <v>1.6166461073330606E-3</v>
      </c>
      <c r="K6" t="s">
        <v>10</v>
      </c>
      <c r="L6">
        <v>4</v>
      </c>
      <c r="M6">
        <v>-6.0753681418295784E-2</v>
      </c>
      <c r="N6">
        <v>-0.10974146329308668</v>
      </c>
    </row>
    <row r="7" spans="1:14">
      <c r="A7" t="s">
        <v>4</v>
      </c>
      <c r="B7">
        <v>5.4</v>
      </c>
      <c r="C7">
        <v>3.9</v>
      </c>
      <c r="D7">
        <v>1.7</v>
      </c>
      <c r="E7">
        <v>0.4</v>
      </c>
      <c r="F7">
        <f t="shared" si="0"/>
        <v>0</v>
      </c>
      <c r="G7" cm="1">
        <f t="array" ref="G7">MMULT(B7:E7,M$6:M$9)+M$5</f>
        <v>-0.22354648808551614</v>
      </c>
      <c r="H7" t="str">
        <f t="shared" si="1"/>
        <v>Iris-setosa</v>
      </c>
      <c r="I7">
        <f t="shared" si="2"/>
        <v>0</v>
      </c>
      <c r="J7">
        <f t="shared" si="3"/>
        <v>6.4165850507682206E-5</v>
      </c>
      <c r="K7" t="s">
        <v>11</v>
      </c>
      <c r="L7">
        <v>3</v>
      </c>
      <c r="M7">
        <v>-0.11478390888115758</v>
      </c>
      <c r="N7">
        <v>-4.4240446717652031E-2</v>
      </c>
    </row>
    <row r="8" spans="1:14">
      <c r="A8" t="s">
        <v>4</v>
      </c>
      <c r="B8">
        <v>4.5999999999999996</v>
      </c>
      <c r="C8">
        <v>3.4</v>
      </c>
      <c r="D8">
        <v>1.4</v>
      </c>
      <c r="E8">
        <v>0.3</v>
      </c>
      <c r="F8">
        <f t="shared" si="0"/>
        <v>0</v>
      </c>
      <c r="G8" cm="1">
        <f t="array" ref="G8">MMULT(B8:E8,M$6:M$9)+M$5</f>
        <v>-0.1873224542698923</v>
      </c>
      <c r="H8" t="str">
        <f t="shared" si="1"/>
        <v>Iris-setosa</v>
      </c>
      <c r="I8">
        <f t="shared" si="2"/>
        <v>0</v>
      </c>
      <c r="J8">
        <f t="shared" si="3"/>
        <v>7.9601144942370789E-4</v>
      </c>
      <c r="K8" t="s">
        <v>12</v>
      </c>
      <c r="L8">
        <v>2</v>
      </c>
      <c r="M8">
        <v>0.16202635765269977</v>
      </c>
      <c r="N8">
        <v>0.2270013821719028</v>
      </c>
    </row>
    <row r="9" spans="1:14">
      <c r="A9" t="s">
        <v>4</v>
      </c>
      <c r="B9">
        <v>5</v>
      </c>
      <c r="C9">
        <v>3.4</v>
      </c>
      <c r="D9">
        <v>1.5</v>
      </c>
      <c r="E9">
        <v>0.2</v>
      </c>
      <c r="F9">
        <f t="shared" si="0"/>
        <v>0</v>
      </c>
      <c r="G9" cm="1">
        <f t="array" ref="G9">MMULT(B9:E9,M$6:M$9)+M$5</f>
        <v>-0.21658424953572242</v>
      </c>
      <c r="H9" t="str">
        <f t="shared" si="1"/>
        <v>Iris-setosa</v>
      </c>
      <c r="I9">
        <f t="shared" si="2"/>
        <v>0</v>
      </c>
      <c r="J9">
        <f t="shared" si="3"/>
        <v>1.098556373307258E-6</v>
      </c>
      <c r="K9" t="s">
        <v>13</v>
      </c>
      <c r="L9">
        <v>1</v>
      </c>
      <c r="M9">
        <v>0.211629584637818</v>
      </c>
      <c r="N9">
        <v>0.6098941197163873</v>
      </c>
    </row>
    <row r="10" spans="1:14">
      <c r="A10" t="s">
        <v>4</v>
      </c>
      <c r="B10">
        <v>4.4000000000000004</v>
      </c>
      <c r="C10">
        <v>2.9</v>
      </c>
      <c r="D10">
        <v>1.4</v>
      </c>
      <c r="E10">
        <v>0.2</v>
      </c>
      <c r="F10">
        <f t="shared" si="0"/>
        <v>0</v>
      </c>
      <c r="G10" cm="1">
        <f t="array" ref="G10">MMULT(B10:E10,M$6:M$9)+M$5</f>
        <v>-0.1389427220094363</v>
      </c>
      <c r="H10" t="str">
        <f t="shared" si="1"/>
        <v>Iris-setosa</v>
      </c>
      <c r="I10">
        <f t="shared" si="2"/>
        <v>0</v>
      </c>
      <c r="J10">
        <f t="shared" si="3"/>
        <v>5.8665500151829746E-3</v>
      </c>
      <c r="K10" t="s">
        <v>37</v>
      </c>
      <c r="M10" t="s">
        <v>36</v>
      </c>
    </row>
    <row r="11" spans="1:14">
      <c r="A11" t="s">
        <v>4</v>
      </c>
      <c r="B11">
        <v>4.9000000000000004</v>
      </c>
      <c r="C11">
        <v>3.1</v>
      </c>
      <c r="D11">
        <v>1.5</v>
      </c>
      <c r="E11">
        <v>0.1</v>
      </c>
      <c r="F11">
        <f t="shared" si="0"/>
        <v>0</v>
      </c>
      <c r="G11" cm="1">
        <f t="array" ref="G11">MMULT(B11:E11,M$6:M$9)+M$5</f>
        <v>-0.19723666719332744</v>
      </c>
      <c r="H11" t="str">
        <f t="shared" si="1"/>
        <v>Iris-setosa</v>
      </c>
      <c r="I11">
        <f t="shared" si="2"/>
        <v>0</v>
      </c>
      <c r="J11">
        <f t="shared" si="3"/>
        <v>3.3487030737398458E-4</v>
      </c>
      <c r="K11" t="s">
        <v>16</v>
      </c>
      <c r="L11" t="s">
        <v>17</v>
      </c>
      <c r="M11" t="s">
        <v>18</v>
      </c>
    </row>
    <row r="12" spans="1:14">
      <c r="A12" t="s">
        <v>4</v>
      </c>
      <c r="B12">
        <v>5.4</v>
      </c>
      <c r="C12">
        <v>3.7</v>
      </c>
      <c r="D12">
        <v>1.5</v>
      </c>
      <c r="E12">
        <v>0.2</v>
      </c>
      <c r="F12">
        <f t="shared" si="0"/>
        <v>0</v>
      </c>
      <c r="G12" cm="1">
        <f t="array" ref="G12">MMULT(B12:E12,M$6:M$9)+M$5</f>
        <v>-0.27532089476738819</v>
      </c>
      <c r="H12" t="str">
        <f t="shared" si="1"/>
        <v>Iris-setosa</v>
      </c>
      <c r="I12">
        <f t="shared" si="2"/>
        <v>0</v>
      </c>
      <c r="J12">
        <f t="shared" si="3"/>
        <v>3.5742182016566541E-3</v>
      </c>
      <c r="K12">
        <f>AVERAGEIFS(G$2:G$151,F$2:F$151,K1)</f>
        <v>-0.21553612913552631</v>
      </c>
      <c r="L12">
        <f>COUNTIF(F$2:F$151,K1)</f>
        <v>50</v>
      </c>
      <c r="M12">
        <f>(K12*L12+K13*L13)/(L12+L13)</f>
        <v>0.13440784876999504</v>
      </c>
    </row>
    <row r="13" spans="1:14">
      <c r="A13" t="s">
        <v>4</v>
      </c>
      <c r="B13">
        <v>4.8</v>
      </c>
      <c r="C13">
        <v>3.4</v>
      </c>
      <c r="D13">
        <v>1.6</v>
      </c>
      <c r="E13">
        <v>0.2</v>
      </c>
      <c r="F13">
        <f t="shared" si="0"/>
        <v>0</v>
      </c>
      <c r="G13" cm="1">
        <f t="array" ref="G13">MMULT(B13:E13,M$6:M$9)+M$5</f>
        <v>-0.1882308774867934</v>
      </c>
      <c r="H13" t="str">
        <f t="shared" si="1"/>
        <v>Iris-setosa</v>
      </c>
      <c r="I13">
        <f t="shared" si="2"/>
        <v>0</v>
      </c>
      <c r="J13">
        <f t="shared" si="3"/>
        <v>7.4557676760063092E-4</v>
      </c>
      <c r="K13">
        <f t="shared" ref="K13:K14" si="4">AVERAGEIFS(G$2:G$151,F$2:F$151,K2)</f>
        <v>0.48435182667551635</v>
      </c>
      <c r="L13">
        <f t="shared" ref="L13:L14" si="5">COUNTIF(F$2:F$151,K2)</f>
        <v>50</v>
      </c>
      <c r="M13">
        <f>(K13*L13+K14*L14)/(L13+L14)</f>
        <v>0.63157754949415434</v>
      </c>
    </row>
    <row r="14" spans="1:14">
      <c r="A14" t="s">
        <v>4</v>
      </c>
      <c r="B14">
        <v>4.8</v>
      </c>
      <c r="C14">
        <v>3</v>
      </c>
      <c r="D14">
        <v>1.4</v>
      </c>
      <c r="E14">
        <v>0.1</v>
      </c>
      <c r="F14">
        <f t="shared" si="0"/>
        <v>0</v>
      </c>
      <c r="G14" cm="1">
        <f t="array" ref="G14">MMULT(B14:E14,M$6:M$9)+M$5</f>
        <v>-0.19588554392865215</v>
      </c>
      <c r="H14" t="str">
        <f t="shared" si="1"/>
        <v>Iris-setosa</v>
      </c>
      <c r="I14">
        <f t="shared" si="2"/>
        <v>0</v>
      </c>
      <c r="J14">
        <f t="shared" si="3"/>
        <v>3.8614549897262137E-4</v>
      </c>
      <c r="K14">
        <f t="shared" si="4"/>
        <v>0.77880327231279223</v>
      </c>
      <c r="L14">
        <f t="shared" si="5"/>
        <v>50</v>
      </c>
    </row>
    <row r="15" spans="1:14">
      <c r="A15" t="s">
        <v>4</v>
      </c>
      <c r="B15">
        <v>4.3</v>
      </c>
      <c r="C15">
        <v>3</v>
      </c>
      <c r="D15">
        <v>1.1000000000000001</v>
      </c>
      <c r="E15">
        <v>0.1</v>
      </c>
      <c r="F15">
        <f t="shared" si="0"/>
        <v>0</v>
      </c>
      <c r="G15" cm="1">
        <f t="array" ref="G15">MMULT(B15:E15,M$6:M$9)+M$5</f>
        <v>-0.21411661051531417</v>
      </c>
      <c r="H15" t="str">
        <f t="shared" si="1"/>
        <v>Iris-setosa</v>
      </c>
      <c r="I15">
        <f t="shared" si="2"/>
        <v>0</v>
      </c>
      <c r="J15">
        <f t="shared" si="3"/>
        <v>2.0150331131289781E-6</v>
      </c>
    </row>
    <row r="16" spans="1:14">
      <c r="A16" t="s">
        <v>4</v>
      </c>
      <c r="B16">
        <v>5.8</v>
      </c>
      <c r="C16">
        <v>4</v>
      </c>
      <c r="D16">
        <v>1.2</v>
      </c>
      <c r="E16">
        <v>0.2</v>
      </c>
      <c r="F16">
        <f t="shared" si="0"/>
        <v>0</v>
      </c>
      <c r="G16" cm="1">
        <f t="array" ref="G16">MMULT(B16:E16,M$6:M$9)+M$5</f>
        <v>-0.38266544729486363</v>
      </c>
      <c r="H16" t="str">
        <f t="shared" si="1"/>
        <v>Iris-setosa</v>
      </c>
      <c r="I16">
        <f t="shared" si="2"/>
        <v>0</v>
      </c>
      <c r="J16">
        <f t="shared" si="3"/>
        <v>2.7932208988405E-2</v>
      </c>
      <c r="K16" s="5" t="s">
        <v>28</v>
      </c>
      <c r="L16" s="5"/>
      <c r="M16" s="4">
        <f>SUM(I2:I151)</f>
        <v>2</v>
      </c>
    </row>
    <row r="17" spans="1:16">
      <c r="A17" t="s">
        <v>4</v>
      </c>
      <c r="B17">
        <v>5.7</v>
      </c>
      <c r="C17">
        <v>4.4000000000000004</v>
      </c>
      <c r="D17">
        <v>1.5</v>
      </c>
      <c r="E17">
        <v>0.4</v>
      </c>
      <c r="F17">
        <f t="shared" si="0"/>
        <v>0</v>
      </c>
      <c r="G17" cm="1">
        <f t="array" ref="G17">MMULT(B17:E17,M$6:M$9)+M$5</f>
        <v>-0.33156981848212363</v>
      </c>
      <c r="H17" t="str">
        <f t="shared" si="1"/>
        <v>Iris-setosa</v>
      </c>
      <c r="I17">
        <f t="shared" si="2"/>
        <v>0</v>
      </c>
      <c r="J17">
        <f t="shared" si="3"/>
        <v>1.3463817063382654E-2</v>
      </c>
      <c r="K17" t="s">
        <v>29</v>
      </c>
    </row>
    <row r="18" spans="1:16">
      <c r="A18" t="s">
        <v>4</v>
      </c>
      <c r="B18">
        <v>5.4</v>
      </c>
      <c r="C18">
        <v>3.9</v>
      </c>
      <c r="D18">
        <v>1.3</v>
      </c>
      <c r="E18">
        <v>0.4</v>
      </c>
      <c r="F18">
        <f t="shared" si="0"/>
        <v>0</v>
      </c>
      <c r="G18" cm="1">
        <f t="array" ref="G18">MMULT(B18:E18,M$6:M$9)+M$5</f>
        <v>-0.28835703114659605</v>
      </c>
      <c r="H18" t="str">
        <f t="shared" si="1"/>
        <v>Iris-setosa</v>
      </c>
      <c r="I18">
        <f t="shared" si="2"/>
        <v>0</v>
      </c>
      <c r="J18">
        <f t="shared" si="3"/>
        <v>5.3028837697058221E-3</v>
      </c>
      <c r="K18" t="s">
        <v>39</v>
      </c>
      <c r="L18">
        <f>(K12-AVERAGE(K12:K14))^2+(K13-AVERAGE(K12:K14))^2+(K14-AVERAGE(K12:K14))^2</f>
        <v>0.52175188326661393</v>
      </c>
      <c r="N18" t="s">
        <v>42</v>
      </c>
      <c r="P18" t="s">
        <v>46</v>
      </c>
    </row>
    <row r="19" spans="1:16">
      <c r="A19" t="s">
        <v>4</v>
      </c>
      <c r="B19">
        <v>5.0999999999999996</v>
      </c>
      <c r="C19">
        <v>3.5</v>
      </c>
      <c r="D19">
        <v>1.4</v>
      </c>
      <c r="E19">
        <v>0.3</v>
      </c>
      <c r="F19">
        <f t="shared" si="0"/>
        <v>0</v>
      </c>
      <c r="G19" cm="1">
        <f t="array" ref="G19">MMULT(B19:E19,M$6:M$9)+M$5</f>
        <v>-0.22917768586715609</v>
      </c>
      <c r="H19" t="str">
        <f t="shared" si="1"/>
        <v>Iris-setosa</v>
      </c>
      <c r="I19">
        <f t="shared" si="2"/>
        <v>0</v>
      </c>
      <c r="J19">
        <f t="shared" si="3"/>
        <v>1.8609207006227386E-4</v>
      </c>
      <c r="K19" t="s">
        <v>40</v>
      </c>
      <c r="L19">
        <f>SUM(J2:J151)</f>
        <v>0.8083672619192559</v>
      </c>
      <c r="N19" t="s">
        <v>44</v>
      </c>
      <c r="P19" t="s">
        <v>47</v>
      </c>
    </row>
    <row r="20" spans="1:16">
      <c r="A20" t="s">
        <v>4</v>
      </c>
      <c r="B20">
        <v>5.7</v>
      </c>
      <c r="C20">
        <v>3.8</v>
      </c>
      <c r="D20">
        <v>1.7</v>
      </c>
      <c r="E20">
        <v>0.3</v>
      </c>
      <c r="F20">
        <f t="shared" si="0"/>
        <v>0</v>
      </c>
      <c r="G20" cm="1">
        <f t="array" ref="G20">MMULT(B20:E20,M$6:M$9)+M$5</f>
        <v>-0.25145716008667074</v>
      </c>
      <c r="H20" t="str">
        <f t="shared" si="1"/>
        <v>Iris-setosa</v>
      </c>
      <c r="I20">
        <f t="shared" si="2"/>
        <v>0</v>
      </c>
      <c r="J20">
        <f t="shared" si="3"/>
        <v>1.2903204645930764E-3</v>
      </c>
      <c r="K20" t="s">
        <v>41</v>
      </c>
      <c r="L20">
        <f>L18/L19</f>
        <v>0.64543915599433233</v>
      </c>
      <c r="N20" t="s">
        <v>45</v>
      </c>
      <c r="P20" t="s">
        <v>48</v>
      </c>
    </row>
    <row r="21" spans="1:16">
      <c r="A21" t="s">
        <v>4</v>
      </c>
      <c r="B21">
        <v>5.0999999999999996</v>
      </c>
      <c r="C21">
        <v>3.8</v>
      </c>
      <c r="D21">
        <v>1.5</v>
      </c>
      <c r="E21">
        <v>0.3</v>
      </c>
      <c r="F21">
        <f t="shared" si="0"/>
        <v>0</v>
      </c>
      <c r="G21" cm="1">
        <f t="array" ref="G21">MMULT(B21:E21,M$6:M$9)+M$5</f>
        <v>-0.24741022276623326</v>
      </c>
      <c r="H21" t="str">
        <f t="shared" si="1"/>
        <v>Iris-setosa</v>
      </c>
      <c r="I21">
        <f t="shared" si="2"/>
        <v>0</v>
      </c>
      <c r="J21">
        <f t="shared" si="3"/>
        <v>1.0159578447790734E-3</v>
      </c>
    </row>
    <row r="22" spans="1:16">
      <c r="A22" t="s">
        <v>4</v>
      </c>
      <c r="B22">
        <v>5.4</v>
      </c>
      <c r="C22">
        <v>3.4</v>
      </c>
      <c r="D22">
        <v>1.7</v>
      </c>
      <c r="E22">
        <v>0.2</v>
      </c>
      <c r="F22">
        <f t="shared" si="0"/>
        <v>0</v>
      </c>
      <c r="G22" cm="1">
        <f t="array" ref="G22">MMULT(B22:E22,M$6:M$9)+M$5</f>
        <v>-0.20848045057250086</v>
      </c>
      <c r="H22" t="str">
        <f t="shared" si="1"/>
        <v>Iris-setosa</v>
      </c>
      <c r="I22">
        <f t="shared" si="2"/>
        <v>0</v>
      </c>
      <c r="J22">
        <f t="shared" si="3"/>
        <v>4.9782599984736758E-5</v>
      </c>
      <c r="L22" t="s">
        <v>51</v>
      </c>
    </row>
    <row r="23" spans="1:16">
      <c r="A23" t="s">
        <v>4</v>
      </c>
      <c r="B23">
        <v>5.0999999999999996</v>
      </c>
      <c r="C23">
        <v>3.7</v>
      </c>
      <c r="D23">
        <v>1.5</v>
      </c>
      <c r="E23">
        <v>0.4</v>
      </c>
      <c r="F23">
        <f t="shared" si="0"/>
        <v>0</v>
      </c>
      <c r="G23" cm="1">
        <f t="array" ref="G23">MMULT(B23:E23,M$6:M$9)+M$5</f>
        <v>-0.21476887341433581</v>
      </c>
      <c r="H23" t="str">
        <f t="shared" si="1"/>
        <v>Iris-setosa</v>
      </c>
      <c r="I23">
        <f t="shared" si="2"/>
        <v>0</v>
      </c>
      <c r="J23">
        <f t="shared" si="3"/>
        <v>5.8868134169954E-7</v>
      </c>
      <c r="L23" t="s">
        <v>52</v>
      </c>
    </row>
    <row r="24" spans="1:16">
      <c r="A24" t="s">
        <v>4</v>
      </c>
      <c r="B24">
        <v>4.5999999999999996</v>
      </c>
      <c r="C24">
        <v>3.6</v>
      </c>
      <c r="D24">
        <v>1</v>
      </c>
      <c r="E24">
        <v>0.2</v>
      </c>
      <c r="F24">
        <f t="shared" si="0"/>
        <v>0</v>
      </c>
      <c r="G24" cm="1">
        <f t="array" ref="G24">MMULT(B24:E24,M$6:M$9)+M$5</f>
        <v>-0.29625273757098558</v>
      </c>
      <c r="H24" t="str">
        <f t="shared" si="1"/>
        <v>Iris-setosa</v>
      </c>
      <c r="I24">
        <f t="shared" si="2"/>
        <v>0</v>
      </c>
      <c r="J24">
        <f t="shared" si="3"/>
        <v>6.5151708773232555E-3</v>
      </c>
    </row>
    <row r="25" spans="1:16">
      <c r="A25" t="s">
        <v>4</v>
      </c>
      <c r="B25">
        <v>5.0999999999999996</v>
      </c>
      <c r="C25">
        <v>3.3</v>
      </c>
      <c r="D25">
        <v>1.7</v>
      </c>
      <c r="E25">
        <v>0.5</v>
      </c>
      <c r="F25">
        <f t="shared" si="0"/>
        <v>0</v>
      </c>
      <c r="G25" cm="1">
        <f t="array" ref="G25">MMULT(B25:E25,M$6:M$9)+M$5</f>
        <v>-0.11528707986755093</v>
      </c>
      <c r="H25" t="str">
        <f t="shared" si="1"/>
        <v>Iris-setosa</v>
      </c>
      <c r="I25">
        <f t="shared" si="2"/>
        <v>0</v>
      </c>
      <c r="J25">
        <f t="shared" si="3"/>
        <v>1.0049871879132954E-2</v>
      </c>
      <c r="L25" t="s">
        <v>53</v>
      </c>
    </row>
    <row r="26" spans="1:16">
      <c r="A26" t="s">
        <v>4</v>
      </c>
      <c r="B26">
        <v>4.8</v>
      </c>
      <c r="C26">
        <v>3.4</v>
      </c>
      <c r="D26">
        <v>1.9</v>
      </c>
      <c r="E26">
        <v>0.2</v>
      </c>
      <c r="F26">
        <f t="shared" si="0"/>
        <v>0</v>
      </c>
      <c r="G26" cm="1">
        <f t="array" ref="G26">MMULT(B26:E26,M$6:M$9)+M$5</f>
        <v>-0.13962297019098346</v>
      </c>
      <c r="H26" t="str">
        <f t="shared" si="1"/>
        <v>Iris-setosa</v>
      </c>
      <c r="I26">
        <f t="shared" si="2"/>
        <v>0</v>
      </c>
      <c r="J26">
        <f t="shared" si="3"/>
        <v>5.7628077009394246E-3</v>
      </c>
      <c r="L26" s="3" t="s">
        <v>54</v>
      </c>
    </row>
    <row r="27" spans="1:16">
      <c r="A27" t="s">
        <v>4</v>
      </c>
      <c r="B27">
        <v>5</v>
      </c>
      <c r="C27">
        <v>3</v>
      </c>
      <c r="D27">
        <v>1.6</v>
      </c>
      <c r="E27">
        <v>0.2</v>
      </c>
      <c r="F27">
        <f t="shared" si="0"/>
        <v>0</v>
      </c>
      <c r="G27" cm="1">
        <f t="array" ref="G27">MMULT(B27:E27,M$6:M$9)+M$5</f>
        <v>-0.15446805021798943</v>
      </c>
      <c r="H27" t="str">
        <f t="shared" si="1"/>
        <v>Iris-setosa</v>
      </c>
      <c r="I27">
        <f t="shared" si="2"/>
        <v>0</v>
      </c>
      <c r="J27">
        <f t="shared" si="3"/>
        <v>3.7293102626785122E-3</v>
      </c>
      <c r="L27" t="s">
        <v>55</v>
      </c>
    </row>
    <row r="28" spans="1:16">
      <c r="A28" t="s">
        <v>4</v>
      </c>
      <c r="B28">
        <v>5</v>
      </c>
      <c r="C28">
        <v>3.4</v>
      </c>
      <c r="D28">
        <v>1.6</v>
      </c>
      <c r="E28">
        <v>0.4</v>
      </c>
      <c r="F28">
        <f t="shared" si="0"/>
        <v>0</v>
      </c>
      <c r="G28" cm="1">
        <f t="array" ref="G28">MMULT(B28:E28,M$6:M$9)+M$5</f>
        <v>-0.15805569684288884</v>
      </c>
      <c r="H28" t="str">
        <f t="shared" si="1"/>
        <v>Iris-setosa</v>
      </c>
      <c r="I28">
        <f t="shared" si="2"/>
        <v>0</v>
      </c>
      <c r="J28">
        <f t="shared" si="3"/>
        <v>3.3040000965484802E-3</v>
      </c>
      <c r="L28" s="3" t="s">
        <v>56</v>
      </c>
    </row>
    <row r="29" spans="1:16">
      <c r="A29" t="s">
        <v>4</v>
      </c>
      <c r="B29">
        <v>5.2</v>
      </c>
      <c r="C29">
        <v>3.5</v>
      </c>
      <c r="D29">
        <v>1.5</v>
      </c>
      <c r="E29">
        <v>0.2</v>
      </c>
      <c r="F29">
        <f t="shared" si="0"/>
        <v>0</v>
      </c>
      <c r="G29" cm="1">
        <f t="array" ref="G29">MMULT(B29:E29,M$6:M$9)+M$5</f>
        <v>-0.24021337670749743</v>
      </c>
      <c r="H29" t="str">
        <f t="shared" si="1"/>
        <v>Iris-setosa</v>
      </c>
      <c r="I29">
        <f t="shared" si="2"/>
        <v>0</v>
      </c>
      <c r="J29">
        <f t="shared" si="3"/>
        <v>6.0896654772835471E-4</v>
      </c>
    </row>
    <row r="30" spans="1:16">
      <c r="A30" t="s">
        <v>4</v>
      </c>
      <c r="B30">
        <v>5.2</v>
      </c>
      <c r="C30">
        <v>3.4</v>
      </c>
      <c r="D30">
        <v>1.4</v>
      </c>
      <c r="E30">
        <v>0.2</v>
      </c>
      <c r="F30">
        <f t="shared" si="0"/>
        <v>0</v>
      </c>
      <c r="G30" cm="1">
        <f t="array" ref="G30">MMULT(B30:E30,M$6:M$9)+M$5</f>
        <v>-0.24493762158465165</v>
      </c>
      <c r="H30" t="str">
        <f t="shared" si="1"/>
        <v>Iris-setosa</v>
      </c>
      <c r="I30">
        <f t="shared" si="2"/>
        <v>0</v>
      </c>
      <c r="J30">
        <f t="shared" si="3"/>
        <v>8.6444775823597494E-4</v>
      </c>
      <c r="L30" s="3"/>
      <c r="N30" s="2" t="s">
        <v>15</v>
      </c>
    </row>
    <row r="31" spans="1:16">
      <c r="A31" t="s">
        <v>4</v>
      </c>
      <c r="B31">
        <v>4.7</v>
      </c>
      <c r="C31">
        <v>3.2</v>
      </c>
      <c r="D31">
        <v>1.6</v>
      </c>
      <c r="E31">
        <v>0.2</v>
      </c>
      <c r="F31">
        <f t="shared" si="0"/>
        <v>0</v>
      </c>
      <c r="G31" cm="1">
        <f t="array" ref="G31">MMULT(B31:E31,M$6:M$9)+M$5</f>
        <v>-0.15919872756873238</v>
      </c>
      <c r="H31" t="str">
        <f t="shared" si="1"/>
        <v>Iris-setosa</v>
      </c>
      <c r="I31">
        <f t="shared" si="2"/>
        <v>0</v>
      </c>
      <c r="J31">
        <f t="shared" si="3"/>
        <v>3.1739028152981946E-3</v>
      </c>
      <c r="N31" t="s">
        <v>19</v>
      </c>
    </row>
    <row r="32" spans="1:16">
      <c r="A32" t="s">
        <v>4</v>
      </c>
      <c r="B32">
        <v>4.8</v>
      </c>
      <c r="C32">
        <v>3.1</v>
      </c>
      <c r="D32">
        <v>1.6</v>
      </c>
      <c r="E32">
        <v>0.2</v>
      </c>
      <c r="F32">
        <f t="shared" si="0"/>
        <v>0</v>
      </c>
      <c r="G32" cm="1">
        <f t="array" ref="G32">MMULT(B32:E32,M$6:M$9)+M$5</f>
        <v>-0.15379570482244614</v>
      </c>
      <c r="H32" t="str">
        <f t="shared" si="1"/>
        <v>Iris-setosa</v>
      </c>
      <c r="I32">
        <f t="shared" si="2"/>
        <v>0</v>
      </c>
      <c r="J32">
        <f t="shared" si="3"/>
        <v>3.8118799943591799E-3</v>
      </c>
    </row>
    <row r="33" spans="1:11">
      <c r="A33" t="s">
        <v>4</v>
      </c>
      <c r="B33">
        <v>5.4</v>
      </c>
      <c r="C33">
        <v>3.4</v>
      </c>
      <c r="D33">
        <v>1.5</v>
      </c>
      <c r="E33">
        <v>0.4</v>
      </c>
      <c r="F33">
        <f t="shared" si="0"/>
        <v>0</v>
      </c>
      <c r="G33" cm="1">
        <f t="array" ref="G33">MMULT(B33:E33,M$6:M$9)+M$5</f>
        <v>-0.19855980517547722</v>
      </c>
      <c r="H33" t="str">
        <f t="shared" si="1"/>
        <v>Iris-setosa</v>
      </c>
      <c r="I33">
        <f t="shared" si="2"/>
        <v>0</v>
      </c>
      <c r="J33">
        <f t="shared" si="3"/>
        <v>2.881955751965366E-4</v>
      </c>
    </row>
    <row r="34" spans="1:11">
      <c r="A34" t="s">
        <v>4</v>
      </c>
      <c r="B34">
        <v>5.2</v>
      </c>
      <c r="C34">
        <v>4.0999999999999996</v>
      </c>
      <c r="D34">
        <v>1.5</v>
      </c>
      <c r="E34">
        <v>0.1</v>
      </c>
      <c r="F34">
        <f t="shared" si="0"/>
        <v>0</v>
      </c>
      <c r="G34" cm="1">
        <f t="array" ref="G34">MMULT(B34:E34,M$6:M$9)+M$5</f>
        <v>-0.33024668049997374</v>
      </c>
      <c r="H34" t="str">
        <f t="shared" si="1"/>
        <v>Iris-setosa</v>
      </c>
      <c r="I34">
        <f t="shared" si="2"/>
        <v>0</v>
      </c>
      <c r="J34">
        <f t="shared" si="3"/>
        <v>1.3158510594335534E-2</v>
      </c>
    </row>
    <row r="35" spans="1:11">
      <c r="A35" t="s">
        <v>4</v>
      </c>
      <c r="B35">
        <v>5.5</v>
      </c>
      <c r="C35">
        <v>4.2</v>
      </c>
      <c r="D35">
        <v>1.4</v>
      </c>
      <c r="E35">
        <v>0.2</v>
      </c>
      <c r="F35">
        <f t="shared" si="0"/>
        <v>0</v>
      </c>
      <c r="G35" cm="1">
        <f t="array" ref="G35">MMULT(B35:E35,M$6:M$9)+M$5</f>
        <v>-0.35499085311506651</v>
      </c>
      <c r="H35" t="str">
        <f t="shared" si="1"/>
        <v>Iris-setosa</v>
      </c>
      <c r="I35">
        <f t="shared" si="2"/>
        <v>0</v>
      </c>
      <c r="J35">
        <f t="shared" si="3"/>
        <v>1.9447620040209744E-2</v>
      </c>
    </row>
    <row r="36" spans="1:11">
      <c r="A36" t="s">
        <v>4</v>
      </c>
      <c r="B36">
        <v>4.9000000000000004</v>
      </c>
      <c r="C36">
        <v>3.1</v>
      </c>
      <c r="D36">
        <v>1.5</v>
      </c>
      <c r="E36">
        <v>0.1</v>
      </c>
      <c r="F36">
        <f t="shared" si="0"/>
        <v>0</v>
      </c>
      <c r="G36" cm="1">
        <f t="array" ref="G36">MMULT(B36:E36,M$6:M$9)+M$5</f>
        <v>-0.19723666719332744</v>
      </c>
      <c r="H36" t="str">
        <f t="shared" si="1"/>
        <v>Iris-setosa</v>
      </c>
      <c r="I36">
        <f t="shared" si="2"/>
        <v>0</v>
      </c>
      <c r="J36">
        <f t="shared" si="3"/>
        <v>3.3487030737398458E-4</v>
      </c>
    </row>
    <row r="37" spans="1:11">
      <c r="A37" t="s">
        <v>4</v>
      </c>
      <c r="B37">
        <v>5</v>
      </c>
      <c r="C37">
        <v>3.2</v>
      </c>
      <c r="D37">
        <v>1.2</v>
      </c>
      <c r="E37">
        <v>0.2</v>
      </c>
      <c r="F37">
        <f t="shared" si="0"/>
        <v>0</v>
      </c>
      <c r="G37" cm="1">
        <f t="array" ref="G37">MMULT(B37:E37,M$6:M$9)+M$5</f>
        <v>-0.24223537505530091</v>
      </c>
      <c r="H37" t="str">
        <f t="shared" si="1"/>
        <v>Iris-setosa</v>
      </c>
      <c r="I37">
        <f t="shared" si="2"/>
        <v>0</v>
      </c>
      <c r="J37">
        <f t="shared" si="3"/>
        <v>7.1284973268460059E-4</v>
      </c>
    </row>
    <row r="38" spans="1:11">
      <c r="A38" t="s">
        <v>4</v>
      </c>
      <c r="B38">
        <v>5.5</v>
      </c>
      <c r="C38">
        <v>3.5</v>
      </c>
      <c r="D38">
        <v>1.3</v>
      </c>
      <c r="E38">
        <v>0.2</v>
      </c>
      <c r="F38">
        <f t="shared" si="0"/>
        <v>0</v>
      </c>
      <c r="G38" cm="1">
        <f t="array" ref="G38">MMULT(B38:E38,M$6:M$9)+M$5</f>
        <v>-0.29084475266352616</v>
      </c>
      <c r="H38" t="str">
        <f t="shared" si="1"/>
        <v>Iris-setosa</v>
      </c>
      <c r="I38">
        <f t="shared" si="2"/>
        <v>0</v>
      </c>
      <c r="J38">
        <f t="shared" si="3"/>
        <v>5.6713887776820137E-3</v>
      </c>
    </row>
    <row r="39" spans="1:11">
      <c r="A39" t="s">
        <v>4</v>
      </c>
      <c r="B39">
        <v>4.9000000000000004</v>
      </c>
      <c r="C39">
        <v>3.1</v>
      </c>
      <c r="D39">
        <v>1.5</v>
      </c>
      <c r="E39">
        <v>0.1</v>
      </c>
      <c r="F39">
        <f t="shared" si="0"/>
        <v>0</v>
      </c>
      <c r="G39" cm="1">
        <f t="array" ref="G39">MMULT(B39:E39,M$6:M$9)+M$5</f>
        <v>-0.19723666719332744</v>
      </c>
      <c r="H39" t="str">
        <f t="shared" si="1"/>
        <v>Iris-setosa</v>
      </c>
      <c r="I39">
        <f t="shared" si="2"/>
        <v>0</v>
      </c>
      <c r="J39">
        <f t="shared" si="3"/>
        <v>3.3487030737398458E-4</v>
      </c>
    </row>
    <row r="40" spans="1:11">
      <c r="A40" t="s">
        <v>4</v>
      </c>
      <c r="B40">
        <v>4.4000000000000004</v>
      </c>
      <c r="C40">
        <v>3</v>
      </c>
      <c r="D40">
        <v>1.3</v>
      </c>
      <c r="E40">
        <v>0.2</v>
      </c>
      <c r="F40">
        <f t="shared" si="0"/>
        <v>0</v>
      </c>
      <c r="G40" cm="1">
        <f t="array" ref="G40">MMULT(B40:E40,M$6:M$9)+M$5</f>
        <v>-0.16662374866282204</v>
      </c>
      <c r="H40" t="str">
        <f t="shared" si="1"/>
        <v>Iris-setosa</v>
      </c>
      <c r="I40">
        <f t="shared" si="2"/>
        <v>0</v>
      </c>
      <c r="J40">
        <f t="shared" si="3"/>
        <v>2.3924209635065819E-3</v>
      </c>
    </row>
    <row r="41" spans="1:11">
      <c r="A41" t="s">
        <v>4</v>
      </c>
      <c r="B41">
        <v>5.0999999999999996</v>
      </c>
      <c r="C41">
        <v>3.4</v>
      </c>
      <c r="D41">
        <v>1.5</v>
      </c>
      <c r="E41">
        <v>0.2</v>
      </c>
      <c r="F41">
        <f t="shared" si="0"/>
        <v>0</v>
      </c>
      <c r="G41" cm="1">
        <f t="array" ref="G41">MMULT(B41:E41,M$6:M$9)+M$5</f>
        <v>-0.22265961767755205</v>
      </c>
      <c r="H41" t="str">
        <f t="shared" si="1"/>
        <v>Iris-setosa</v>
      </c>
      <c r="I41">
        <f t="shared" si="2"/>
        <v>0</v>
      </c>
      <c r="J41">
        <f t="shared" si="3"/>
        <v>5.0744089008372017E-5</v>
      </c>
    </row>
    <row r="42" spans="1:11">
      <c r="A42" t="s">
        <v>4</v>
      </c>
      <c r="B42">
        <v>5</v>
      </c>
      <c r="C42">
        <v>3.5</v>
      </c>
      <c r="D42">
        <v>1.3</v>
      </c>
      <c r="E42">
        <v>0.3</v>
      </c>
      <c r="F42">
        <f t="shared" si="0"/>
        <v>0</v>
      </c>
      <c r="G42" cm="1">
        <f t="array" ref="G42">MMULT(B42:E42,M$6:M$9)+M$5</f>
        <v>-0.23930495349059644</v>
      </c>
      <c r="H42" t="str">
        <f t="shared" si="1"/>
        <v>Iris-setosa</v>
      </c>
      <c r="I42">
        <f t="shared" si="2"/>
        <v>0</v>
      </c>
      <c r="J42">
        <f t="shared" si="3"/>
        <v>5.6495701122217514E-4</v>
      </c>
    </row>
    <row r="43" spans="1:11">
      <c r="A43" t="s">
        <v>4</v>
      </c>
      <c r="B43">
        <v>4.5</v>
      </c>
      <c r="C43">
        <v>2.2999999999999998</v>
      </c>
      <c r="D43">
        <v>1.3</v>
      </c>
      <c r="E43">
        <v>0.3</v>
      </c>
      <c r="F43">
        <f t="shared" si="0"/>
        <v>0</v>
      </c>
      <c r="G43" cm="1">
        <f t="array" ref="G43">MMULT(B43:E43,M$6:M$9)+M$5</f>
        <v>-7.1187422124059485E-2</v>
      </c>
      <c r="H43" t="str">
        <f t="shared" si="1"/>
        <v>Iris-setosa</v>
      </c>
      <c r="I43">
        <f t="shared" si="2"/>
        <v>0</v>
      </c>
      <c r="J43">
        <f t="shared" si="3"/>
        <v>2.0836549215882291E-2</v>
      </c>
      <c r="K43" t="s">
        <v>20</v>
      </c>
    </row>
    <row r="44" spans="1:11">
      <c r="A44" t="s">
        <v>4</v>
      </c>
      <c r="B44">
        <v>4.4000000000000004</v>
      </c>
      <c r="C44">
        <v>3.2</v>
      </c>
      <c r="D44">
        <v>1.3</v>
      </c>
      <c r="E44">
        <v>0.2</v>
      </c>
      <c r="F44">
        <f t="shared" si="0"/>
        <v>0</v>
      </c>
      <c r="G44" cm="1">
        <f t="array" ref="G44">MMULT(B44:E44,M$6:M$9)+M$5</f>
        <v>-0.18958053043905354</v>
      </c>
      <c r="H44" t="str">
        <f t="shared" si="1"/>
        <v>Iris-setosa</v>
      </c>
      <c r="I44">
        <f t="shared" si="2"/>
        <v>0</v>
      </c>
      <c r="J44">
        <f t="shared" si="3"/>
        <v>6.7369310369233873E-4</v>
      </c>
      <c r="K44" s="3"/>
    </row>
    <row r="45" spans="1:11">
      <c r="A45" t="s">
        <v>4</v>
      </c>
      <c r="B45">
        <v>5</v>
      </c>
      <c r="C45">
        <v>3.5</v>
      </c>
      <c r="D45">
        <v>1.6</v>
      </c>
      <c r="E45">
        <v>0.6</v>
      </c>
      <c r="F45">
        <f t="shared" si="0"/>
        <v>0</v>
      </c>
      <c r="G45" cm="1">
        <f t="array" ref="G45">MMULT(B45:E45,M$6:M$9)+M$5</f>
        <v>-0.1272081708034411</v>
      </c>
      <c r="H45" t="str">
        <f t="shared" si="1"/>
        <v>Iris-setosa</v>
      </c>
      <c r="I45">
        <f t="shared" si="2"/>
        <v>0</v>
      </c>
      <c r="J45">
        <f t="shared" si="3"/>
        <v>7.80182822311458E-3</v>
      </c>
      <c r="K45" s="3" t="s">
        <v>21</v>
      </c>
    </row>
    <row r="46" spans="1:11">
      <c r="A46" t="s">
        <v>4</v>
      </c>
      <c r="B46">
        <v>5.0999999999999996</v>
      </c>
      <c r="C46">
        <v>3.8</v>
      </c>
      <c r="D46">
        <v>1.9</v>
      </c>
      <c r="E46">
        <v>0.4</v>
      </c>
      <c r="F46">
        <f t="shared" si="0"/>
        <v>0</v>
      </c>
      <c r="G46" cm="1">
        <f t="array" ref="G46">MMULT(B46:E46,M$6:M$9)+M$5</f>
        <v>-0.16143672124137154</v>
      </c>
      <c r="H46" t="str">
        <f t="shared" si="1"/>
        <v>Iris-setosa</v>
      </c>
      <c r="I46">
        <f t="shared" si="2"/>
        <v>0</v>
      </c>
      <c r="J46">
        <f t="shared" si="3"/>
        <v>2.9267459344981353E-3</v>
      </c>
      <c r="K46" s="3" t="s">
        <v>22</v>
      </c>
    </row>
    <row r="47" spans="1:11">
      <c r="A47" t="s">
        <v>4</v>
      </c>
      <c r="B47">
        <v>4.8</v>
      </c>
      <c r="C47">
        <v>3</v>
      </c>
      <c r="D47">
        <v>1.4</v>
      </c>
      <c r="E47">
        <v>0.3</v>
      </c>
      <c r="F47">
        <f t="shared" si="0"/>
        <v>0</v>
      </c>
      <c r="G47" cm="1">
        <f t="array" ref="G47">MMULT(B47:E47,M$6:M$9)+M$5</f>
        <v>-0.15355962700108855</v>
      </c>
      <c r="H47" t="str">
        <f t="shared" si="1"/>
        <v>Iris-setosa</v>
      </c>
      <c r="I47">
        <f t="shared" si="2"/>
        <v>0</v>
      </c>
      <c r="J47">
        <f t="shared" si="3"/>
        <v>3.8410868168199676E-3</v>
      </c>
      <c r="K47" s="3" t="s">
        <v>23</v>
      </c>
    </row>
    <row r="48" spans="1:11">
      <c r="A48" t="s">
        <v>4</v>
      </c>
      <c r="B48">
        <v>5.0999999999999996</v>
      </c>
      <c r="C48">
        <v>3.8</v>
      </c>
      <c r="D48">
        <v>1.6</v>
      </c>
      <c r="E48">
        <v>0.2</v>
      </c>
      <c r="F48">
        <f t="shared" si="0"/>
        <v>0</v>
      </c>
      <c r="G48" cm="1">
        <f t="array" ref="G48">MMULT(B48:E48,M$6:M$9)+M$5</f>
        <v>-0.25237054546474508</v>
      </c>
      <c r="H48" t="str">
        <f t="shared" si="1"/>
        <v>Iris-setosa</v>
      </c>
      <c r="I48">
        <f t="shared" si="2"/>
        <v>0</v>
      </c>
      <c r="J48">
        <f t="shared" si="3"/>
        <v>1.3567742263142185E-3</v>
      </c>
      <c r="K48" t="s">
        <v>24</v>
      </c>
    </row>
    <row r="49" spans="1:11">
      <c r="A49" t="s">
        <v>4</v>
      </c>
      <c r="B49">
        <v>4.5999999999999996</v>
      </c>
      <c r="C49">
        <v>3.2</v>
      </c>
      <c r="D49">
        <v>1.4</v>
      </c>
      <c r="E49">
        <v>0.2</v>
      </c>
      <c r="F49">
        <f t="shared" si="0"/>
        <v>0</v>
      </c>
      <c r="G49" cm="1">
        <f t="array" ref="G49">MMULT(B49:E49,M$6:M$9)+M$5</f>
        <v>-0.18552863095744271</v>
      </c>
      <c r="H49" t="str">
        <f t="shared" si="1"/>
        <v>Iris-setosa</v>
      </c>
      <c r="I49">
        <f t="shared" si="2"/>
        <v>0</v>
      </c>
      <c r="J49">
        <f t="shared" si="3"/>
        <v>9.0044994690769038E-4</v>
      </c>
      <c r="K49" t="s">
        <v>25</v>
      </c>
    </row>
    <row r="50" spans="1:11">
      <c r="A50" t="s">
        <v>4</v>
      </c>
      <c r="B50">
        <v>5.3</v>
      </c>
      <c r="C50">
        <v>3.7</v>
      </c>
      <c r="D50">
        <v>1.5</v>
      </c>
      <c r="E50">
        <v>0.2</v>
      </c>
      <c r="F50">
        <f t="shared" si="0"/>
        <v>0</v>
      </c>
      <c r="G50" cm="1">
        <f t="array" ref="G50">MMULT(B50:E50,M$6:M$9)+M$5</f>
        <v>-0.26924552662555845</v>
      </c>
      <c r="H50" t="str">
        <f t="shared" si="1"/>
        <v>Iris-setosa</v>
      </c>
      <c r="I50">
        <f t="shared" si="2"/>
        <v>0</v>
      </c>
      <c r="J50">
        <f t="shared" si="3"/>
        <v>2.8846993787422712E-3</v>
      </c>
      <c r="K50" t="s">
        <v>30</v>
      </c>
    </row>
    <row r="51" spans="1:11">
      <c r="A51" t="s">
        <v>4</v>
      </c>
      <c r="B51">
        <v>5</v>
      </c>
      <c r="C51">
        <v>3.3</v>
      </c>
      <c r="D51">
        <v>1.4</v>
      </c>
      <c r="E51">
        <v>0.2</v>
      </c>
      <c r="F51">
        <f t="shared" si="0"/>
        <v>0</v>
      </c>
      <c r="G51" cm="1">
        <f t="array" ref="G51">MMULT(B51:E51,M$6:M$9)+M$5</f>
        <v>-0.22130849441287664</v>
      </c>
      <c r="H51" t="str">
        <f t="shared" si="1"/>
        <v>Iris-setosa</v>
      </c>
      <c r="I51">
        <f t="shared" si="2"/>
        <v>0</v>
      </c>
      <c r="J51">
        <f t="shared" si="3"/>
        <v>3.3320200895159855E-5</v>
      </c>
      <c r="K51" t="s">
        <v>25</v>
      </c>
    </row>
    <row r="52" spans="1:11">
      <c r="A52" t="s">
        <v>5</v>
      </c>
      <c r="B52">
        <v>7</v>
      </c>
      <c r="C52">
        <v>3.2</v>
      </c>
      <c r="D52">
        <v>4.7</v>
      </c>
      <c r="E52">
        <v>1.4</v>
      </c>
      <c r="F52">
        <f t="shared" si="0"/>
        <v>1</v>
      </c>
      <c r="G52" cm="1">
        <f t="array" ref="G52">MMULT(B52:E52,M$6:M$9)+M$5</f>
        <v>0.45730501545793834</v>
      </c>
      <c r="H52" t="str">
        <f t="shared" si="1"/>
        <v>Iris-versicolor</v>
      </c>
      <c r="I52">
        <f t="shared" si="2"/>
        <v>0</v>
      </c>
      <c r="J52">
        <f t="shared" si="3"/>
        <v>7.3152999703930395E-4</v>
      </c>
      <c r="K52" t="s">
        <v>31</v>
      </c>
    </row>
    <row r="53" spans="1:11">
      <c r="A53" t="s">
        <v>5</v>
      </c>
      <c r="B53">
        <v>6.4</v>
      </c>
      <c r="C53">
        <v>3.2</v>
      </c>
      <c r="D53">
        <v>4.5</v>
      </c>
      <c r="E53">
        <v>1.5</v>
      </c>
      <c r="F53">
        <f t="shared" si="0"/>
        <v>1</v>
      </c>
      <c r="G53" cm="1">
        <f t="array" ref="G53">MMULT(B53:E53,M$6:M$9)+M$5</f>
        <v>0.48251491124215751</v>
      </c>
      <c r="H53" t="str">
        <f t="shared" si="1"/>
        <v>Iris-versicolor</v>
      </c>
      <c r="I53">
        <f t="shared" si="2"/>
        <v>0</v>
      </c>
      <c r="J53">
        <f t="shared" si="3"/>
        <v>3.3742583093119071E-6</v>
      </c>
      <c r="K53" t="s">
        <v>25</v>
      </c>
    </row>
    <row r="54" spans="1:11">
      <c r="A54" t="s">
        <v>5</v>
      </c>
      <c r="B54">
        <v>6.9</v>
      </c>
      <c r="C54">
        <v>3.1</v>
      </c>
      <c r="D54">
        <v>4.9000000000000004</v>
      </c>
      <c r="E54">
        <v>1.5</v>
      </c>
      <c r="F54">
        <f t="shared" si="0"/>
        <v>1</v>
      </c>
      <c r="G54" cm="1">
        <f t="array" ref="G54">MMULT(B54:E54,M$6:M$9)+M$5</f>
        <v>0.52842700448220548</v>
      </c>
      <c r="H54" t="str">
        <f t="shared" si="1"/>
        <v>Iris-versicolor</v>
      </c>
      <c r="I54">
        <f t="shared" si="2"/>
        <v>0</v>
      </c>
      <c r="J54">
        <f t="shared" si="3"/>
        <v>1.9426212986912617E-3</v>
      </c>
      <c r="K54" t="s">
        <v>32</v>
      </c>
    </row>
    <row r="55" spans="1:11">
      <c r="A55" t="s">
        <v>5</v>
      </c>
      <c r="B55">
        <v>5.5</v>
      </c>
      <c r="C55">
        <v>2.2999999999999998</v>
      </c>
      <c r="D55">
        <v>4</v>
      </c>
      <c r="E55">
        <v>1.3</v>
      </c>
      <c r="F55">
        <f t="shared" si="0"/>
        <v>1</v>
      </c>
      <c r="G55" cm="1">
        <f t="array" ref="G55">MMULT(B55:E55,M$6:M$9)+M$5</f>
        <v>0.51715964675775217</v>
      </c>
      <c r="H55" t="str">
        <f t="shared" si="1"/>
        <v>Iris-versicolor</v>
      </c>
      <c r="I55">
        <f t="shared" si="2"/>
        <v>0</v>
      </c>
      <c r="J55">
        <f t="shared" si="3"/>
        <v>1.0763530585483558E-3</v>
      </c>
      <c r="K55" t="s">
        <v>25</v>
      </c>
    </row>
    <row r="56" spans="1:11">
      <c r="A56" t="s">
        <v>5</v>
      </c>
      <c r="B56">
        <v>6.5</v>
      </c>
      <c r="C56">
        <v>2.8</v>
      </c>
      <c r="D56">
        <v>4.5999999999999996</v>
      </c>
      <c r="E56">
        <v>1.5</v>
      </c>
      <c r="F56">
        <f t="shared" si="0"/>
        <v>1</v>
      </c>
      <c r="G56" cm="1">
        <f t="array" ref="G56">MMULT(B56:E56,M$6:M$9)+M$5</f>
        <v>0.53855574241806103</v>
      </c>
      <c r="H56" t="str">
        <f t="shared" si="1"/>
        <v>Iris-versicolor</v>
      </c>
      <c r="I56">
        <f t="shared" si="2"/>
        <v>0</v>
      </c>
      <c r="J56">
        <f t="shared" si="3"/>
        <v>2.9380644818248836E-3</v>
      </c>
      <c r="K56" t="s">
        <v>18</v>
      </c>
    </row>
    <row r="57" spans="1:11">
      <c r="A57" t="s">
        <v>5</v>
      </c>
      <c r="B57">
        <v>5.7</v>
      </c>
      <c r="C57">
        <v>2.8</v>
      </c>
      <c r="D57">
        <v>4.5</v>
      </c>
      <c r="E57">
        <v>1.3</v>
      </c>
      <c r="F57">
        <f t="shared" si="0"/>
        <v>1</v>
      </c>
      <c r="G57" cm="1">
        <f t="array" ref="G57">MMULT(B57:E57,M$6:M$9)+M$5</f>
        <v>0.5286301348598641</v>
      </c>
      <c r="H57" t="str">
        <f t="shared" si="1"/>
        <v>Iris-versicolor</v>
      </c>
      <c r="I57">
        <f t="shared" si="2"/>
        <v>0</v>
      </c>
      <c r="J57">
        <f t="shared" si="3"/>
        <v>1.9605685756680768E-3</v>
      </c>
      <c r="K57" t="s">
        <v>25</v>
      </c>
    </row>
    <row r="58" spans="1:11">
      <c r="A58" t="s">
        <v>5</v>
      </c>
      <c r="B58">
        <v>6.3</v>
      </c>
      <c r="C58">
        <v>3.3</v>
      </c>
      <c r="D58">
        <v>4.7</v>
      </c>
      <c r="E58">
        <v>1.6</v>
      </c>
      <c r="F58">
        <f t="shared" si="0"/>
        <v>1</v>
      </c>
      <c r="G58" cm="1">
        <f t="array" ref="G58">MMULT(B58:E58,M$6:M$9)+M$5</f>
        <v>0.53068011849019325</v>
      </c>
      <c r="H58" t="str">
        <f t="shared" si="1"/>
        <v>Iris-versicolor</v>
      </c>
      <c r="I58">
        <f t="shared" si="2"/>
        <v>0</v>
      </c>
      <c r="J58">
        <f t="shared" si="3"/>
        <v>2.146310622465859E-3</v>
      </c>
      <c r="K58" t="s">
        <v>33</v>
      </c>
    </row>
    <row r="59" spans="1:11">
      <c r="A59" t="s">
        <v>5</v>
      </c>
      <c r="B59">
        <v>4.9000000000000004</v>
      </c>
      <c r="C59">
        <v>2.4</v>
      </c>
      <c r="D59">
        <v>3.3</v>
      </c>
      <c r="E59">
        <v>1</v>
      </c>
      <c r="F59">
        <f t="shared" si="0"/>
        <v>1</v>
      </c>
      <c r="G59" cm="1">
        <f t="array" ref="G59">MMULT(B59:E59,M$6:M$9)+M$5</f>
        <v>0.36522613897237854</v>
      </c>
      <c r="H59" t="str">
        <f t="shared" si="1"/>
        <v>Iris-versicolor</v>
      </c>
      <c r="I59">
        <f t="shared" si="2"/>
        <v>0</v>
      </c>
      <c r="J59">
        <f t="shared" si="3"/>
        <v>1.4190929470745519E-2</v>
      </c>
      <c r="K59" t="s">
        <v>25</v>
      </c>
    </row>
    <row r="60" spans="1:11">
      <c r="A60" t="s">
        <v>5</v>
      </c>
      <c r="B60">
        <v>6.6</v>
      </c>
      <c r="C60">
        <v>2.9</v>
      </c>
      <c r="D60">
        <v>4.5999999999999996</v>
      </c>
      <c r="E60">
        <v>1.3</v>
      </c>
      <c r="F60">
        <f t="shared" si="0"/>
        <v>1</v>
      </c>
      <c r="G60" cm="1">
        <f t="array" ref="G60">MMULT(B60:E60,M$6:M$9)+M$5</f>
        <v>0.47867606646055205</v>
      </c>
      <c r="H60" t="str">
        <f t="shared" si="1"/>
        <v>Iris-versicolor</v>
      </c>
      <c r="I60">
        <f t="shared" si="2"/>
        <v>0</v>
      </c>
      <c r="J60">
        <f t="shared" si="3"/>
        <v>3.221425401777158E-5</v>
      </c>
      <c r="K60" t="s">
        <v>34</v>
      </c>
    </row>
    <row r="61" spans="1:11">
      <c r="A61" t="s">
        <v>5</v>
      </c>
      <c r="B61">
        <v>5.2</v>
      </c>
      <c r="C61">
        <v>2.7</v>
      </c>
      <c r="D61">
        <v>3.9</v>
      </c>
      <c r="E61">
        <v>1.4</v>
      </c>
      <c r="F61">
        <f t="shared" si="0"/>
        <v>1</v>
      </c>
      <c r="G61" cm="1">
        <f t="array" ref="G61">MMULT(B61:E61,M$6:M$9)+M$5</f>
        <v>0.49443251032928959</v>
      </c>
      <c r="H61" t="str">
        <f t="shared" si="1"/>
        <v>Iris-versicolor</v>
      </c>
      <c r="I61">
        <f t="shared" si="2"/>
        <v>0</v>
      </c>
      <c r="J61">
        <f t="shared" si="3"/>
        <v>1.0162018292745094E-4</v>
      </c>
    </row>
    <row r="62" spans="1:11">
      <c r="A62" t="s">
        <v>5</v>
      </c>
      <c r="B62">
        <v>5</v>
      </c>
      <c r="C62">
        <v>2</v>
      </c>
      <c r="D62">
        <v>3.5</v>
      </c>
      <c r="E62">
        <v>1</v>
      </c>
      <c r="F62">
        <f t="shared" si="0"/>
        <v>1</v>
      </c>
      <c r="G62" cm="1">
        <f t="array" ref="G62">MMULT(B62:E62,M$6:M$9)+M$5</f>
        <v>0.43746960591355211</v>
      </c>
      <c r="H62" t="str">
        <f t="shared" si="1"/>
        <v>Iris-versicolor</v>
      </c>
      <c r="I62">
        <f t="shared" si="2"/>
        <v>0</v>
      </c>
      <c r="J62">
        <f t="shared" si="3"/>
        <v>2.1979426235735513E-3</v>
      </c>
    </row>
    <row r="63" spans="1:11">
      <c r="A63" t="s">
        <v>5</v>
      </c>
      <c r="B63">
        <v>5.9</v>
      </c>
      <c r="C63">
        <v>3</v>
      </c>
      <c r="D63">
        <v>4.2</v>
      </c>
      <c r="E63">
        <v>1.5</v>
      </c>
      <c r="F63">
        <f t="shared" si="0"/>
        <v>1</v>
      </c>
      <c r="G63" cm="1">
        <f t="array" ref="G63">MMULT(B63:E63,M$6:M$9)+M$5</f>
        <v>0.48724062643172705</v>
      </c>
      <c r="H63" t="str">
        <f t="shared" si="1"/>
        <v>Iris-versicolor</v>
      </c>
      <c r="I63">
        <f t="shared" si="2"/>
        <v>0</v>
      </c>
      <c r="J63">
        <f t="shared" si="3"/>
        <v>8.3451640314830144E-6</v>
      </c>
    </row>
    <row r="64" spans="1:11">
      <c r="A64" t="s">
        <v>5</v>
      </c>
      <c r="B64">
        <v>6</v>
      </c>
      <c r="C64">
        <v>2.2000000000000002</v>
      </c>
      <c r="D64">
        <v>4</v>
      </c>
      <c r="E64">
        <v>1</v>
      </c>
      <c r="F64">
        <f t="shared" si="0"/>
        <v>1</v>
      </c>
      <c r="G64" cm="1">
        <f t="array" ref="G64">MMULT(B64:E64,M$6:M$9)+M$5</f>
        <v>0.4347723215453746</v>
      </c>
      <c r="H64" t="str">
        <f t="shared" si="1"/>
        <v>Iris-versicolor</v>
      </c>
      <c r="I64">
        <f t="shared" si="2"/>
        <v>0</v>
      </c>
      <c r="J64">
        <f t="shared" si="3"/>
        <v>2.4581273289497525E-3</v>
      </c>
    </row>
    <row r="65" spans="1:10">
      <c r="A65" t="s">
        <v>5</v>
      </c>
      <c r="B65">
        <v>6.1</v>
      </c>
      <c r="C65">
        <v>2.9</v>
      </c>
      <c r="D65">
        <v>4.7</v>
      </c>
      <c r="E65">
        <v>1.4</v>
      </c>
      <c r="F65">
        <f t="shared" si="0"/>
        <v>1</v>
      </c>
      <c r="G65" cm="1">
        <f t="array" ref="G65">MMULT(B65:E65,M$6:M$9)+M$5</f>
        <v>0.54641850139875192</v>
      </c>
      <c r="H65" t="str">
        <f t="shared" si="1"/>
        <v>Iris-versicolor</v>
      </c>
      <c r="I65">
        <f t="shared" si="2"/>
        <v>0</v>
      </c>
      <c r="J65">
        <f t="shared" si="3"/>
        <v>3.8522721111999294E-3</v>
      </c>
    </row>
    <row r="66" spans="1:10">
      <c r="A66" t="s">
        <v>5</v>
      </c>
      <c r="B66">
        <v>5.6</v>
      </c>
      <c r="C66">
        <v>2.9</v>
      </c>
      <c r="D66">
        <v>3.6</v>
      </c>
      <c r="E66">
        <v>1.3</v>
      </c>
      <c r="F66">
        <f t="shared" si="0"/>
        <v>1</v>
      </c>
      <c r="G66" cm="1">
        <f t="array" ref="G66">MMULT(B66:E66,M$6:M$9)+M$5</f>
        <v>0.37740339022614811</v>
      </c>
      <c r="H66" t="str">
        <f t="shared" si="1"/>
        <v>Iris-versicolor</v>
      </c>
      <c r="I66">
        <f t="shared" si="2"/>
        <v>0</v>
      </c>
      <c r="J66">
        <f t="shared" si="3"/>
        <v>1.1437968058964559E-2</v>
      </c>
    </row>
    <row r="67" spans="1:10">
      <c r="A67" t="s">
        <v>5</v>
      </c>
      <c r="B67">
        <v>6.7</v>
      </c>
      <c r="C67">
        <v>3.1</v>
      </c>
      <c r="D67">
        <v>4.4000000000000004</v>
      </c>
      <c r="E67">
        <v>1.4</v>
      </c>
      <c r="F67">
        <f t="shared" ref="F67:F130" si="6">IF(A67=$L$1,$K$1,IF(A67=$L$2,$K$2,$K$3))</f>
        <v>1</v>
      </c>
      <c r="G67" cm="1">
        <f t="array" ref="G67">MMULT(B67:E67,M$6:M$9)+M$5</f>
        <v>0.43840160347573287</v>
      </c>
      <c r="H67" t="str">
        <f t="shared" ref="H67:H130" si="7">IF(G67&lt;$M$12,L$1,IF(G67&lt;$M$13,L$2,L$3))</f>
        <v>Iris-versicolor</v>
      </c>
      <c r="I67">
        <f t="shared" ref="I67:I130" si="8">IF(A67=H67,0,1)</f>
        <v>0</v>
      </c>
      <c r="J67">
        <f t="shared" ref="J67:J130" si="9">IF(F67=K$1,(G67-K$12)^2,IF(F67=K$2,(G67-K$13)^2,(G67-K$14)^2))</f>
        <v>2.1114230121099201E-3</v>
      </c>
    </row>
    <row r="68" spans="1:10">
      <c r="A68" t="s">
        <v>5</v>
      </c>
      <c r="B68">
        <v>5.6</v>
      </c>
      <c r="C68">
        <v>3</v>
      </c>
      <c r="D68">
        <v>4.5</v>
      </c>
      <c r="E68">
        <v>1.5</v>
      </c>
      <c r="F68">
        <f t="shared" si="6"/>
        <v>1</v>
      </c>
      <c r="G68" cm="1">
        <f t="array" ref="G68">MMULT(B68:E68,M$6:M$9)+M$5</f>
        <v>0.55407463815302571</v>
      </c>
      <c r="H68" t="str">
        <f t="shared" si="7"/>
        <v>Iris-versicolor</v>
      </c>
      <c r="I68">
        <f t="shared" si="8"/>
        <v>0</v>
      </c>
      <c r="J68">
        <f t="shared" si="9"/>
        <v>4.8612704403283111E-3</v>
      </c>
    </row>
    <row r="69" spans="1:10">
      <c r="A69" t="s">
        <v>5</v>
      </c>
      <c r="B69">
        <v>5.8</v>
      </c>
      <c r="C69">
        <v>2.7</v>
      </c>
      <c r="D69">
        <v>4.0999999999999996</v>
      </c>
      <c r="E69">
        <v>1</v>
      </c>
      <c r="F69">
        <f t="shared" si="6"/>
        <v>1</v>
      </c>
      <c r="G69" cm="1">
        <f t="array" ref="G69">MMULT(B69:E69,M$6:M$9)+M$5</f>
        <v>0.4057337391537249</v>
      </c>
      <c r="H69" t="str">
        <f t="shared" si="7"/>
        <v>Iris-versicolor</v>
      </c>
      <c r="I69">
        <f t="shared" si="8"/>
        <v>0</v>
      </c>
      <c r="J69">
        <f t="shared" si="9"/>
        <v>6.1808036855840603E-3</v>
      </c>
    </row>
    <row r="70" spans="1:10">
      <c r="A70" t="s">
        <v>5</v>
      </c>
      <c r="B70">
        <v>6.2</v>
      </c>
      <c r="C70">
        <v>2.2000000000000002</v>
      </c>
      <c r="D70">
        <v>4.5</v>
      </c>
      <c r="E70">
        <v>1.5</v>
      </c>
      <c r="F70">
        <f t="shared" si="6"/>
        <v>1</v>
      </c>
      <c r="G70" cm="1">
        <f t="array" ref="G70">MMULT(B70:E70,M$6:M$9)+M$5</f>
        <v>0.60944955640697418</v>
      </c>
      <c r="H70" t="str">
        <f t="shared" si="7"/>
        <v>Iris-versicolor</v>
      </c>
      <c r="I70">
        <f t="shared" si="8"/>
        <v>0</v>
      </c>
      <c r="J70">
        <f t="shared" si="9"/>
        <v>1.5649441983964868E-2</v>
      </c>
    </row>
    <row r="71" spans="1:10">
      <c r="A71" t="s">
        <v>5</v>
      </c>
      <c r="B71">
        <v>5.6</v>
      </c>
      <c r="C71">
        <v>2.5</v>
      </c>
      <c r="D71">
        <v>3.9</v>
      </c>
      <c r="E71">
        <v>1.1000000000000001</v>
      </c>
      <c r="F71">
        <f t="shared" si="6"/>
        <v>1</v>
      </c>
      <c r="G71" cm="1">
        <f t="array" ref="G71">MMULT(B71:E71,M$6:M$9)+M$5</f>
        <v>0.4295989441468574</v>
      </c>
      <c r="H71" t="str">
        <f t="shared" si="7"/>
        <v>Iris-versicolor</v>
      </c>
      <c r="I71">
        <f t="shared" si="8"/>
        <v>0</v>
      </c>
      <c r="J71">
        <f t="shared" si="9"/>
        <v>2.9978781451971267E-3</v>
      </c>
    </row>
    <row r="72" spans="1:10">
      <c r="A72" t="s">
        <v>5</v>
      </c>
      <c r="B72">
        <v>5.9</v>
      </c>
      <c r="C72">
        <v>3.2</v>
      </c>
      <c r="D72">
        <v>4.8</v>
      </c>
      <c r="E72">
        <v>1.8</v>
      </c>
      <c r="F72">
        <f t="shared" si="6"/>
        <v>1</v>
      </c>
      <c r="G72" cm="1">
        <f t="array" ref="G72">MMULT(B72:E72,M$6:M$9)+M$5</f>
        <v>0.62498853463846082</v>
      </c>
      <c r="H72" t="str">
        <f t="shared" si="7"/>
        <v>Iris-versicolor</v>
      </c>
      <c r="I72">
        <f t="shared" si="8"/>
        <v>0</v>
      </c>
      <c r="J72">
        <f t="shared" si="9"/>
        <v>1.9778683626654529E-2</v>
      </c>
    </row>
    <row r="73" spans="1:10">
      <c r="A73" t="s">
        <v>5</v>
      </c>
      <c r="B73">
        <v>6.1</v>
      </c>
      <c r="C73">
        <v>2.8</v>
      </c>
      <c r="D73">
        <v>4</v>
      </c>
      <c r="E73">
        <v>1.3</v>
      </c>
      <c r="F73">
        <f t="shared" si="6"/>
        <v>1</v>
      </c>
      <c r="G73" cm="1">
        <f t="array" ref="G73">MMULT(B73:E73,M$6:M$9)+M$5</f>
        <v>0.42331548346619596</v>
      </c>
      <c r="H73" t="str">
        <f t="shared" si="7"/>
        <v>Iris-versicolor</v>
      </c>
      <c r="I73">
        <f t="shared" si="8"/>
        <v>0</v>
      </c>
      <c r="J73">
        <f t="shared" si="9"/>
        <v>3.7254351923659509E-3</v>
      </c>
    </row>
    <row r="74" spans="1:10">
      <c r="A74" t="s">
        <v>5</v>
      </c>
      <c r="B74">
        <v>6.3</v>
      </c>
      <c r="C74">
        <v>2.5</v>
      </c>
      <c r="D74">
        <v>4.9000000000000004</v>
      </c>
      <c r="E74">
        <v>1.5</v>
      </c>
      <c r="F74">
        <f t="shared" si="6"/>
        <v>1</v>
      </c>
      <c r="G74" cm="1">
        <f t="array" ref="G74">MMULT(B74:E74,M$6:M$9)+M$5</f>
        <v>0.63374955866187754</v>
      </c>
      <c r="H74" t="str">
        <f t="shared" si="7"/>
        <v>Iris-virginica</v>
      </c>
      <c r="I74">
        <f t="shared" si="8"/>
        <v>1</v>
      </c>
      <c r="J74">
        <f t="shared" si="9"/>
        <v>2.2319682322668611E-2</v>
      </c>
    </row>
    <row r="75" spans="1:10">
      <c r="A75" t="s">
        <v>5</v>
      </c>
      <c r="B75">
        <v>6.1</v>
      </c>
      <c r="C75">
        <v>2.8</v>
      </c>
      <c r="D75">
        <v>4.7</v>
      </c>
      <c r="E75">
        <v>1.2</v>
      </c>
      <c r="F75">
        <f t="shared" si="6"/>
        <v>1</v>
      </c>
      <c r="G75" cm="1">
        <f t="array" ref="G75">MMULT(B75:E75,M$6:M$9)+M$5</f>
        <v>0.51557097535930407</v>
      </c>
      <c r="H75" t="str">
        <f t="shared" si="7"/>
        <v>Iris-versicolor</v>
      </c>
      <c r="I75">
        <f t="shared" si="8"/>
        <v>0</v>
      </c>
      <c r="J75">
        <f t="shared" si="9"/>
        <v>9.7463524454044471E-4</v>
      </c>
    </row>
    <row r="76" spans="1:10">
      <c r="A76" t="s">
        <v>5</v>
      </c>
      <c r="B76">
        <v>6.4</v>
      </c>
      <c r="C76">
        <v>2.9</v>
      </c>
      <c r="D76">
        <v>4.3</v>
      </c>
      <c r="E76">
        <v>1.3</v>
      </c>
      <c r="F76">
        <f t="shared" si="6"/>
        <v>1</v>
      </c>
      <c r="G76" cm="1">
        <f t="array" ref="G76">MMULT(B76:E76,M$6:M$9)+M$5</f>
        <v>0.44221889544840132</v>
      </c>
      <c r="H76" t="str">
        <f t="shared" si="7"/>
        <v>Iris-versicolor</v>
      </c>
      <c r="I76">
        <f t="shared" si="8"/>
        <v>0</v>
      </c>
      <c r="J76">
        <f t="shared" si="9"/>
        <v>1.7751838937888052E-3</v>
      </c>
    </row>
    <row r="77" spans="1:10">
      <c r="A77" t="s">
        <v>5</v>
      </c>
      <c r="B77">
        <v>6.6</v>
      </c>
      <c r="C77">
        <v>3</v>
      </c>
      <c r="D77">
        <v>4.4000000000000004</v>
      </c>
      <c r="E77">
        <v>1.4</v>
      </c>
      <c r="F77">
        <f t="shared" si="6"/>
        <v>1</v>
      </c>
      <c r="G77" cm="1">
        <f t="array" ref="G77">MMULT(B77:E77,M$6:M$9)+M$5</f>
        <v>0.45595536250567825</v>
      </c>
      <c r="H77" t="str">
        <f t="shared" si="7"/>
        <v>Iris-versicolor</v>
      </c>
      <c r="I77">
        <f t="shared" si="8"/>
        <v>0</v>
      </c>
      <c r="J77">
        <f t="shared" si="9"/>
        <v>8.0635917734889889E-4</v>
      </c>
    </row>
    <row r="78" spans="1:10">
      <c r="A78" t="s">
        <v>5</v>
      </c>
      <c r="B78">
        <v>6.8</v>
      </c>
      <c r="C78">
        <v>2.8</v>
      </c>
      <c r="D78">
        <v>4.8</v>
      </c>
      <c r="E78">
        <v>1.4</v>
      </c>
      <c r="F78">
        <f t="shared" si="6"/>
        <v>1</v>
      </c>
      <c r="G78" cm="1">
        <f t="array" ref="G78">MMULT(B78:E78,M$6:M$9)+M$5</f>
        <v>0.53157195105933053</v>
      </c>
      <c r="H78" t="str">
        <f t="shared" si="7"/>
        <v>Iris-versicolor</v>
      </c>
      <c r="I78">
        <f t="shared" si="8"/>
        <v>0</v>
      </c>
      <c r="J78">
        <f t="shared" si="9"/>
        <v>2.2297401468228824E-3</v>
      </c>
    </row>
    <row r="79" spans="1:10">
      <c r="A79" t="s">
        <v>5</v>
      </c>
      <c r="B79">
        <v>6.7</v>
      </c>
      <c r="C79">
        <v>3</v>
      </c>
      <c r="D79">
        <v>5</v>
      </c>
      <c r="E79">
        <v>1.7</v>
      </c>
      <c r="F79">
        <f t="shared" si="6"/>
        <v>1</v>
      </c>
      <c r="G79" cm="1">
        <f t="array" ref="G79">MMULT(B79:E79,M$6:M$9)+M$5</f>
        <v>0.6105846843468139</v>
      </c>
      <c r="H79" t="str">
        <f t="shared" si="7"/>
        <v>Iris-versicolor</v>
      </c>
      <c r="I79">
        <f t="shared" si="8"/>
        <v>0</v>
      </c>
      <c r="J79">
        <f t="shared" si="9"/>
        <v>1.5934734355862065E-2</v>
      </c>
    </row>
    <row r="80" spans="1:10">
      <c r="A80" t="s">
        <v>5</v>
      </c>
      <c r="B80">
        <v>6</v>
      </c>
      <c r="C80">
        <v>2.9</v>
      </c>
      <c r="D80">
        <v>4.5</v>
      </c>
      <c r="E80">
        <v>1.5</v>
      </c>
      <c r="F80">
        <f t="shared" si="6"/>
        <v>1</v>
      </c>
      <c r="G80" cm="1">
        <f t="array" ref="G80">MMULT(B80:E80,M$6:M$9)+M$5</f>
        <v>0.54125155647382317</v>
      </c>
      <c r="H80" t="str">
        <f t="shared" si="7"/>
        <v>Iris-versicolor</v>
      </c>
      <c r="I80">
        <f t="shared" si="8"/>
        <v>0</v>
      </c>
      <c r="J80">
        <f t="shared" si="9"/>
        <v>3.237579251120325E-3</v>
      </c>
    </row>
    <row r="81" spans="1:10">
      <c r="A81" t="s">
        <v>5</v>
      </c>
      <c r="B81">
        <v>5.7</v>
      </c>
      <c r="C81">
        <v>2.6</v>
      </c>
      <c r="D81">
        <v>3.5</v>
      </c>
      <c r="E81">
        <v>1</v>
      </c>
      <c r="F81">
        <f t="shared" si="6"/>
        <v>1</v>
      </c>
      <c r="G81" cm="1">
        <f t="array" ref="G81">MMULT(B81:E81,M$6:M$9)+M$5</f>
        <v>0.32607168359205052</v>
      </c>
      <c r="H81" t="str">
        <f t="shared" si="7"/>
        <v>Iris-versicolor</v>
      </c>
      <c r="I81">
        <f t="shared" si="8"/>
        <v>0</v>
      </c>
      <c r="J81">
        <f t="shared" si="9"/>
        <v>2.5052603694522415E-2</v>
      </c>
    </row>
    <row r="82" spans="1:10">
      <c r="A82" t="s">
        <v>5</v>
      </c>
      <c r="B82">
        <v>5.5</v>
      </c>
      <c r="C82">
        <v>2.4</v>
      </c>
      <c r="D82">
        <v>3.8</v>
      </c>
      <c r="E82">
        <v>1.1000000000000001</v>
      </c>
      <c r="F82">
        <f t="shared" si="6"/>
        <v>1</v>
      </c>
      <c r="G82" cm="1">
        <f t="array" ref="G82">MMULT(B82:E82,M$6:M$9)+M$5</f>
        <v>0.43095006741153286</v>
      </c>
      <c r="H82" t="str">
        <f t="shared" si="7"/>
        <v>Iris-versicolor</v>
      </c>
      <c r="I82">
        <f t="shared" si="8"/>
        <v>0</v>
      </c>
      <c r="J82">
        <f t="shared" si="9"/>
        <v>2.8517478924884468E-3</v>
      </c>
    </row>
    <row r="83" spans="1:10">
      <c r="A83" t="s">
        <v>5</v>
      </c>
      <c r="B83">
        <v>5.5</v>
      </c>
      <c r="C83">
        <v>2.4</v>
      </c>
      <c r="D83">
        <v>3.7</v>
      </c>
      <c r="E83">
        <v>1</v>
      </c>
      <c r="F83">
        <f t="shared" si="6"/>
        <v>1</v>
      </c>
      <c r="G83" cm="1">
        <f t="array" ref="G83">MMULT(B83:E83,M$6:M$9)+M$5</f>
        <v>0.39358447318248113</v>
      </c>
      <c r="H83" t="str">
        <f t="shared" si="7"/>
        <v>Iris-versicolor</v>
      </c>
      <c r="I83">
        <f t="shared" si="8"/>
        <v>0</v>
      </c>
      <c r="J83">
        <f t="shared" si="9"/>
        <v>8.238712460129612E-3</v>
      </c>
    </row>
    <row r="84" spans="1:10">
      <c r="A84" t="s">
        <v>5</v>
      </c>
      <c r="B84">
        <v>5.8</v>
      </c>
      <c r="C84">
        <v>2.7</v>
      </c>
      <c r="D84">
        <v>3.9</v>
      </c>
      <c r="E84">
        <v>1.2</v>
      </c>
      <c r="F84">
        <f t="shared" si="6"/>
        <v>1</v>
      </c>
      <c r="G84" cm="1">
        <f t="array" ref="G84">MMULT(B84:E84,M$6:M$9)+M$5</f>
        <v>0.41565438455074855</v>
      </c>
      <c r="H84" t="str">
        <f t="shared" si="7"/>
        <v>Iris-versicolor</v>
      </c>
      <c r="I84">
        <f t="shared" si="8"/>
        <v>0</v>
      </c>
      <c r="J84">
        <f t="shared" si="9"/>
        <v>4.7193385544858218E-3</v>
      </c>
    </row>
    <row r="85" spans="1:10">
      <c r="A85" t="s">
        <v>5</v>
      </c>
      <c r="B85">
        <v>6</v>
      </c>
      <c r="C85">
        <v>2.7</v>
      </c>
      <c r="D85">
        <v>5.0999999999999996</v>
      </c>
      <c r="E85">
        <v>1.6</v>
      </c>
      <c r="F85">
        <f t="shared" si="6"/>
        <v>1</v>
      </c>
      <c r="G85" cm="1">
        <f t="array" ref="G85">MMULT(B85:E85,M$6:M$9)+M$5</f>
        <v>0.68258711130545635</v>
      </c>
      <c r="H85" t="str">
        <f t="shared" si="7"/>
        <v>Iris-virginica</v>
      </c>
      <c r="I85">
        <f t="shared" si="8"/>
        <v>1</v>
      </c>
      <c r="J85">
        <f t="shared" si="9"/>
        <v>3.9297228072313325E-2</v>
      </c>
    </row>
    <row r="86" spans="1:10">
      <c r="A86" t="s">
        <v>5</v>
      </c>
      <c r="B86">
        <v>5.4</v>
      </c>
      <c r="C86">
        <v>3</v>
      </c>
      <c r="D86">
        <v>4.5</v>
      </c>
      <c r="E86">
        <v>1.5</v>
      </c>
      <c r="F86">
        <f t="shared" si="6"/>
        <v>1</v>
      </c>
      <c r="G86" cm="1">
        <f t="array" ref="G86">MMULT(B86:E86,M$6:M$9)+M$5</f>
        <v>0.56622537443668486</v>
      </c>
      <c r="H86" t="str">
        <f t="shared" si="7"/>
        <v>Iris-versicolor</v>
      </c>
      <c r="I86">
        <f t="shared" si="8"/>
        <v>0</v>
      </c>
      <c r="J86">
        <f t="shared" si="9"/>
        <v>6.7032778230003412E-3</v>
      </c>
    </row>
    <row r="87" spans="1:10">
      <c r="A87" t="s">
        <v>5</v>
      </c>
      <c r="B87">
        <v>6</v>
      </c>
      <c r="C87">
        <v>3.4</v>
      </c>
      <c r="D87">
        <v>4.5</v>
      </c>
      <c r="E87">
        <v>1.6</v>
      </c>
      <c r="F87">
        <f t="shared" si="6"/>
        <v>1</v>
      </c>
      <c r="G87" cm="1">
        <f t="array" ref="G87">MMULT(B87:E87,M$6:M$9)+M$5</f>
        <v>0.50502256049702621</v>
      </c>
      <c r="H87" t="str">
        <f t="shared" si="7"/>
        <v>Iris-versicolor</v>
      </c>
      <c r="I87">
        <f t="shared" si="8"/>
        <v>0</v>
      </c>
      <c r="J87">
        <f t="shared" si="9"/>
        <v>4.2727923671971151E-4</v>
      </c>
    </row>
    <row r="88" spans="1:10">
      <c r="A88" t="s">
        <v>5</v>
      </c>
      <c r="B88">
        <v>6.7</v>
      </c>
      <c r="C88">
        <v>3.1</v>
      </c>
      <c r="D88">
        <v>4.7</v>
      </c>
      <c r="E88">
        <v>1.5</v>
      </c>
      <c r="F88">
        <f t="shared" si="6"/>
        <v>1</v>
      </c>
      <c r="G88" cm="1">
        <f t="array" ref="G88">MMULT(B88:E88,M$6:M$9)+M$5</f>
        <v>0.50817246923532466</v>
      </c>
      <c r="H88" t="str">
        <f t="shared" si="7"/>
        <v>Iris-versicolor</v>
      </c>
      <c r="I88">
        <f t="shared" si="8"/>
        <v>0</v>
      </c>
      <c r="J88">
        <f t="shared" si="9"/>
        <v>5.6742301196215116E-4</v>
      </c>
    </row>
    <row r="89" spans="1:10">
      <c r="A89" t="s">
        <v>5</v>
      </c>
      <c r="B89">
        <v>6.3</v>
      </c>
      <c r="C89">
        <v>2.2999999999999998</v>
      </c>
      <c r="D89">
        <v>4.4000000000000004</v>
      </c>
      <c r="E89">
        <v>1.3</v>
      </c>
      <c r="F89">
        <f t="shared" si="6"/>
        <v>1</v>
      </c>
      <c r="G89" cm="1">
        <f t="array" ref="G89">MMULT(B89:E89,M$6:M$9)+M$5</f>
        <v>0.5333672446841955</v>
      </c>
      <c r="H89" t="str">
        <f t="shared" si="7"/>
        <v>Iris-versicolor</v>
      </c>
      <c r="I89">
        <f t="shared" si="8"/>
        <v>0</v>
      </c>
      <c r="J89">
        <f t="shared" si="9"/>
        <v>2.4025112025655481E-3</v>
      </c>
    </row>
    <row r="90" spans="1:10">
      <c r="A90" t="s">
        <v>5</v>
      </c>
      <c r="B90">
        <v>5.6</v>
      </c>
      <c r="C90">
        <v>3</v>
      </c>
      <c r="D90">
        <v>4.0999999999999996</v>
      </c>
      <c r="E90">
        <v>1.3</v>
      </c>
      <c r="F90">
        <f t="shared" si="6"/>
        <v>1</v>
      </c>
      <c r="G90" cm="1">
        <f t="array" ref="G90">MMULT(B90:E90,M$6:M$9)+M$5</f>
        <v>0.44693817816438219</v>
      </c>
      <c r="H90" t="str">
        <f t="shared" si="7"/>
        <v>Iris-versicolor</v>
      </c>
      <c r="I90">
        <f t="shared" si="8"/>
        <v>0</v>
      </c>
      <c r="J90">
        <f t="shared" si="9"/>
        <v>1.399781094914691E-3</v>
      </c>
    </row>
    <row r="91" spans="1:10">
      <c r="A91" t="s">
        <v>5</v>
      </c>
      <c r="B91">
        <v>5.5</v>
      </c>
      <c r="C91">
        <v>2.5</v>
      </c>
      <c r="D91">
        <v>4</v>
      </c>
      <c r="E91">
        <v>1.3</v>
      </c>
      <c r="F91">
        <f t="shared" si="6"/>
        <v>1</v>
      </c>
      <c r="G91" cm="1">
        <f t="array" ref="G91">MMULT(B91:E91,M$6:M$9)+M$5</f>
        <v>0.49420286498152066</v>
      </c>
      <c r="H91" t="str">
        <f t="shared" si="7"/>
        <v>Iris-versicolor</v>
      </c>
      <c r="I91">
        <f t="shared" si="8"/>
        <v>0</v>
      </c>
      <c r="J91">
        <f t="shared" si="9"/>
        <v>9.7042955706364291E-5</v>
      </c>
    </row>
    <row r="92" spans="1:10">
      <c r="A92" t="s">
        <v>5</v>
      </c>
      <c r="B92">
        <v>5.5</v>
      </c>
      <c r="C92">
        <v>2.6</v>
      </c>
      <c r="D92">
        <v>4.4000000000000004</v>
      </c>
      <c r="E92">
        <v>1.2</v>
      </c>
      <c r="F92">
        <f t="shared" si="6"/>
        <v>1</v>
      </c>
      <c r="G92" cm="1">
        <f t="array" ref="G92">MMULT(B92:E92,M$6:M$9)+M$5</f>
        <v>0.52637205869070292</v>
      </c>
      <c r="H92" t="str">
        <f t="shared" si="7"/>
        <v>Iris-versicolor</v>
      </c>
      <c r="I92">
        <f t="shared" si="8"/>
        <v>0</v>
      </c>
      <c r="J92">
        <f t="shared" si="9"/>
        <v>1.7656998986101101E-3</v>
      </c>
    </row>
    <row r="93" spans="1:10">
      <c r="A93" t="s">
        <v>5</v>
      </c>
      <c r="B93">
        <v>6.1</v>
      </c>
      <c r="C93">
        <v>3</v>
      </c>
      <c r="D93">
        <v>4.5999999999999996</v>
      </c>
      <c r="E93">
        <v>1.4</v>
      </c>
      <c r="F93">
        <f t="shared" si="6"/>
        <v>1</v>
      </c>
      <c r="G93" cm="1">
        <f t="array" ref="G93">MMULT(B93:E93,M$6:M$9)+M$5</f>
        <v>0.51873747474536602</v>
      </c>
      <c r="H93" t="str">
        <f t="shared" si="7"/>
        <v>Iris-versicolor</v>
      </c>
      <c r="I93">
        <f t="shared" si="8"/>
        <v>0</v>
      </c>
      <c r="J93">
        <f t="shared" si="9"/>
        <v>1.1823727931835565E-3</v>
      </c>
    </row>
    <row r="94" spans="1:10">
      <c r="A94" t="s">
        <v>5</v>
      </c>
      <c r="B94">
        <v>5.8</v>
      </c>
      <c r="C94">
        <v>2.6</v>
      </c>
      <c r="D94">
        <v>4</v>
      </c>
      <c r="E94">
        <v>1.2</v>
      </c>
      <c r="F94">
        <f t="shared" si="6"/>
        <v>1</v>
      </c>
      <c r="G94" cm="1">
        <f t="array" ref="G94">MMULT(B94:E94,M$6:M$9)+M$5</f>
        <v>0.44333541120413433</v>
      </c>
      <c r="H94" t="str">
        <f t="shared" si="7"/>
        <v>Iris-versicolor</v>
      </c>
      <c r="I94">
        <f t="shared" si="8"/>
        <v>0</v>
      </c>
      <c r="J94">
        <f t="shared" si="9"/>
        <v>1.6823463381210261E-3</v>
      </c>
    </row>
    <row r="95" spans="1:10">
      <c r="A95" t="s">
        <v>5</v>
      </c>
      <c r="B95">
        <v>5</v>
      </c>
      <c r="C95">
        <v>2.2999999999999998</v>
      </c>
      <c r="D95">
        <v>3.3</v>
      </c>
      <c r="E95">
        <v>1</v>
      </c>
      <c r="F95">
        <f t="shared" si="6"/>
        <v>1</v>
      </c>
      <c r="G95" cm="1">
        <f t="array" ref="G95">MMULT(B95:E95,M$6:M$9)+M$5</f>
        <v>0.37062916171866478</v>
      </c>
      <c r="H95" t="str">
        <f t="shared" si="7"/>
        <v>Iris-versicolor</v>
      </c>
      <c r="I95">
        <f t="shared" si="8"/>
        <v>0</v>
      </c>
      <c r="J95">
        <f t="shared" si="9"/>
        <v>1.2932844524888316E-2</v>
      </c>
    </row>
    <row r="96" spans="1:10">
      <c r="A96" t="s">
        <v>5</v>
      </c>
      <c r="B96">
        <v>5.6</v>
      </c>
      <c r="C96">
        <v>2.7</v>
      </c>
      <c r="D96">
        <v>4.2</v>
      </c>
      <c r="E96">
        <v>1.3</v>
      </c>
      <c r="F96">
        <f t="shared" si="6"/>
        <v>1</v>
      </c>
      <c r="G96" cm="1">
        <f t="array" ref="G96">MMULT(B96:E96,M$6:M$9)+M$5</f>
        <v>0.49757598659399949</v>
      </c>
      <c r="H96" t="str">
        <f t="shared" si="7"/>
        <v>Iris-versicolor</v>
      </c>
      <c r="I96">
        <f t="shared" si="8"/>
        <v>0</v>
      </c>
      <c r="J96">
        <f t="shared" si="9"/>
        <v>1.7487840554961589E-4</v>
      </c>
    </row>
    <row r="97" spans="1:10">
      <c r="A97" t="s">
        <v>5</v>
      </c>
      <c r="B97">
        <v>5.7</v>
      </c>
      <c r="C97">
        <v>3</v>
      </c>
      <c r="D97">
        <v>4.2</v>
      </c>
      <c r="E97">
        <v>1.2</v>
      </c>
      <c r="F97">
        <f t="shared" si="6"/>
        <v>1</v>
      </c>
      <c r="G97" cm="1">
        <f t="array" ref="G97">MMULT(B97:E97,M$6:M$9)+M$5</f>
        <v>0.43590248732404091</v>
      </c>
      <c r="H97" t="str">
        <f t="shared" si="7"/>
        <v>Iris-versicolor</v>
      </c>
      <c r="I97">
        <f t="shared" si="8"/>
        <v>0</v>
      </c>
      <c r="J97">
        <f t="shared" si="9"/>
        <v>2.3473384835944267E-3</v>
      </c>
    </row>
    <row r="98" spans="1:10">
      <c r="A98" t="s">
        <v>5</v>
      </c>
      <c r="B98">
        <v>5.7</v>
      </c>
      <c r="C98">
        <v>2.9</v>
      </c>
      <c r="D98">
        <v>4.2</v>
      </c>
      <c r="E98">
        <v>1.3</v>
      </c>
      <c r="F98">
        <f t="shared" si="6"/>
        <v>1</v>
      </c>
      <c r="G98" cm="1">
        <f t="array" ref="G98">MMULT(B98:E98,M$6:M$9)+M$5</f>
        <v>0.46854383667593846</v>
      </c>
      <c r="H98" t="str">
        <f t="shared" si="7"/>
        <v>Iris-versicolor</v>
      </c>
      <c r="I98">
        <f t="shared" si="8"/>
        <v>0</v>
      </c>
      <c r="J98">
        <f t="shared" si="9"/>
        <v>2.4989254782675449E-4</v>
      </c>
    </row>
    <row r="99" spans="1:10">
      <c r="A99" t="s">
        <v>5</v>
      </c>
      <c r="B99">
        <v>6.2</v>
      </c>
      <c r="C99">
        <v>2.9</v>
      </c>
      <c r="D99">
        <v>4.3</v>
      </c>
      <c r="E99">
        <v>1.3</v>
      </c>
      <c r="F99">
        <f t="shared" si="6"/>
        <v>1</v>
      </c>
      <c r="G99" cm="1">
        <f t="array" ref="G99">MMULT(B99:E99,M$6:M$9)+M$5</f>
        <v>0.45436963173206035</v>
      </c>
      <c r="H99" t="str">
        <f t="shared" si="7"/>
        <v>Iris-versicolor</v>
      </c>
      <c r="I99">
        <f t="shared" si="8"/>
        <v>0</v>
      </c>
      <c r="J99">
        <f t="shared" si="9"/>
        <v>8.9893201362739844E-4</v>
      </c>
    </row>
    <row r="100" spans="1:10">
      <c r="A100" t="s">
        <v>5</v>
      </c>
      <c r="B100">
        <v>5.0999999999999996</v>
      </c>
      <c r="C100">
        <v>2.5</v>
      </c>
      <c r="D100">
        <v>3</v>
      </c>
      <c r="E100">
        <v>1.1000000000000001</v>
      </c>
      <c r="F100">
        <f t="shared" si="6"/>
        <v>1</v>
      </c>
      <c r="G100" cm="1">
        <f t="array" ref="G100">MMULT(B100:E100,M$6:M$9)+M$5</f>
        <v>0.31415206296857567</v>
      </c>
      <c r="H100" t="str">
        <f t="shared" si="7"/>
        <v>Iris-versicolor</v>
      </c>
      <c r="I100">
        <f t="shared" si="8"/>
        <v>0</v>
      </c>
      <c r="J100">
        <f t="shared" si="9"/>
        <v>2.8967959565898441E-2</v>
      </c>
    </row>
    <row r="101" spans="1:10">
      <c r="A101" t="s">
        <v>5</v>
      </c>
      <c r="B101">
        <v>5.7</v>
      </c>
      <c r="C101">
        <v>2.8</v>
      </c>
      <c r="D101">
        <v>4.0999999999999996</v>
      </c>
      <c r="E101">
        <v>1.3</v>
      </c>
      <c r="F101">
        <f t="shared" si="6"/>
        <v>1</v>
      </c>
      <c r="G101" cm="1">
        <f t="array" ref="G101">MMULT(B101:E101,M$6:M$9)+M$5</f>
        <v>0.46381959179878418</v>
      </c>
      <c r="H101" t="str">
        <f t="shared" si="7"/>
        <v>Iris-versicolor</v>
      </c>
      <c r="I101">
        <f t="shared" si="8"/>
        <v>0</v>
      </c>
      <c r="J101">
        <f t="shared" si="9"/>
        <v>4.2157266903329686E-4</v>
      </c>
    </row>
    <row r="102" spans="1:10">
      <c r="A102" t="s">
        <v>6</v>
      </c>
      <c r="B102">
        <v>6.3</v>
      </c>
      <c r="C102">
        <v>3.3</v>
      </c>
      <c r="D102">
        <v>6</v>
      </c>
      <c r="E102">
        <v>2.5</v>
      </c>
      <c r="F102">
        <f t="shared" si="6"/>
        <v>2</v>
      </c>
      <c r="G102" cm="1">
        <f t="array" ref="G102">MMULT(B102:E102,M$6:M$9)+M$5</f>
        <v>0.93178100961273902</v>
      </c>
      <c r="H102" t="str">
        <f t="shared" si="7"/>
        <v>Iris-virginica</v>
      </c>
      <c r="I102">
        <f t="shared" si="8"/>
        <v>0</v>
      </c>
      <c r="J102">
        <f t="shared" si="9"/>
        <v>2.3402188109411533E-2</v>
      </c>
    </row>
    <row r="103" spans="1:10">
      <c r="A103" t="s">
        <v>6</v>
      </c>
      <c r="B103">
        <v>5.8</v>
      </c>
      <c r="C103">
        <v>2.7</v>
      </c>
      <c r="D103">
        <v>5.0999999999999996</v>
      </c>
      <c r="E103">
        <v>1.9</v>
      </c>
      <c r="F103">
        <f t="shared" si="6"/>
        <v>2</v>
      </c>
      <c r="G103" cm="1">
        <f t="array" ref="G103">MMULT(B103:E103,M$6:M$9)+M$5</f>
        <v>0.7582267229804609</v>
      </c>
      <c r="H103" t="str">
        <f t="shared" si="7"/>
        <v>Iris-virginica</v>
      </c>
      <c r="I103">
        <f t="shared" si="8"/>
        <v>0</v>
      </c>
      <c r="J103">
        <f t="shared" si="9"/>
        <v>4.2339438242586485E-4</v>
      </c>
    </row>
    <row r="104" spans="1:10">
      <c r="A104" t="s">
        <v>6</v>
      </c>
      <c r="B104">
        <v>7.1</v>
      </c>
      <c r="C104">
        <v>3</v>
      </c>
      <c r="D104">
        <v>5.9</v>
      </c>
      <c r="E104">
        <v>2.1</v>
      </c>
      <c r="F104">
        <f t="shared" si="6"/>
        <v>2</v>
      </c>
      <c r="G104" cm="1">
        <f t="array" ref="G104">MMULT(B104:E104,M$6:M$9)+M$5</f>
        <v>0.81675876752205268</v>
      </c>
      <c r="H104" t="str">
        <f t="shared" si="7"/>
        <v>Iris-virginica</v>
      </c>
      <c r="I104">
        <f t="shared" si="8"/>
        <v>0</v>
      </c>
      <c r="J104">
        <f t="shared" si="9"/>
        <v>1.4406196165801929E-3</v>
      </c>
    </row>
    <row r="105" spans="1:10">
      <c r="A105" t="s">
        <v>6</v>
      </c>
      <c r="B105">
        <v>6.3</v>
      </c>
      <c r="C105">
        <v>2.9</v>
      </c>
      <c r="D105">
        <v>5.6</v>
      </c>
      <c r="E105">
        <v>1.8</v>
      </c>
      <c r="F105">
        <f t="shared" si="6"/>
        <v>2</v>
      </c>
      <c r="G105" cm="1">
        <f t="array" ref="G105">MMULT(B105:E105,M$6:M$9)+M$5</f>
        <v>0.76474332085764951</v>
      </c>
      <c r="H105" t="str">
        <f t="shared" si="7"/>
        <v>Iris-virginica</v>
      </c>
      <c r="I105">
        <f t="shared" si="8"/>
        <v>0</v>
      </c>
      <c r="J105">
        <f t="shared" si="9"/>
        <v>1.9768223492096977E-4</v>
      </c>
    </row>
    <row r="106" spans="1:10">
      <c r="A106" t="s">
        <v>6</v>
      </c>
      <c r="B106">
        <v>6.5</v>
      </c>
      <c r="C106">
        <v>3</v>
      </c>
      <c r="D106">
        <v>5.8</v>
      </c>
      <c r="E106">
        <v>2.2000000000000002</v>
      </c>
      <c r="F106">
        <f t="shared" si="6"/>
        <v>2</v>
      </c>
      <c r="G106" cm="1">
        <f t="array" ref="G106">MMULT(B106:E106,M$6:M$9)+M$5</f>
        <v>0.85817129907154177</v>
      </c>
      <c r="H106" t="str">
        <f t="shared" si="7"/>
        <v>Iris-virginica</v>
      </c>
      <c r="I106">
        <f t="shared" si="8"/>
        <v>0</v>
      </c>
      <c r="J106">
        <f t="shared" si="9"/>
        <v>6.2992836715775836E-3</v>
      </c>
    </row>
    <row r="107" spans="1:10">
      <c r="A107" t="s">
        <v>6</v>
      </c>
      <c r="B107">
        <v>7.6</v>
      </c>
      <c r="C107">
        <v>3</v>
      </c>
      <c r="D107">
        <v>6.6</v>
      </c>
      <c r="E107">
        <v>2.1</v>
      </c>
      <c r="F107">
        <f t="shared" si="6"/>
        <v>2</v>
      </c>
      <c r="G107" cm="1">
        <f t="array" ref="G107">MMULT(B107:E107,M$6:M$9)+M$5</f>
        <v>0.89980037716979444</v>
      </c>
      <c r="H107" t="str">
        <f t="shared" si="7"/>
        <v>Iris-virginica</v>
      </c>
      <c r="I107">
        <f t="shared" si="8"/>
        <v>0</v>
      </c>
      <c r="J107">
        <f t="shared" si="9"/>
        <v>1.4640299383776388E-2</v>
      </c>
    </row>
    <row r="108" spans="1:10">
      <c r="A108" t="s">
        <v>6</v>
      </c>
      <c r="B108">
        <v>4.9000000000000004</v>
      </c>
      <c r="C108">
        <v>2.5</v>
      </c>
      <c r="D108">
        <v>4.5</v>
      </c>
      <c r="E108">
        <v>1.7</v>
      </c>
      <c r="F108">
        <f t="shared" si="6"/>
        <v>2</v>
      </c>
      <c r="G108" cm="1">
        <f t="array" ref="G108">MMULT(B108:E108,M$6:M$9)+M$5</f>
        <v>0.69632008651397514</v>
      </c>
      <c r="H108" t="str">
        <f t="shared" si="7"/>
        <v>Iris-virginica</v>
      </c>
      <c r="I108">
        <f t="shared" si="8"/>
        <v>0</v>
      </c>
      <c r="J108">
        <f t="shared" si="9"/>
        <v>6.8034759395221803E-3</v>
      </c>
    </row>
    <row r="109" spans="1:10">
      <c r="A109" t="s">
        <v>6</v>
      </c>
      <c r="B109">
        <v>7.3</v>
      </c>
      <c r="C109">
        <v>2.9</v>
      </c>
      <c r="D109">
        <v>6.3</v>
      </c>
      <c r="E109">
        <v>1.8</v>
      </c>
      <c r="F109">
        <f t="shared" si="6"/>
        <v>2</v>
      </c>
      <c r="G109" cm="1">
        <f t="array" ref="G109">MMULT(B109:E109,M$6:M$9)+M$5</f>
        <v>0.81740808979624358</v>
      </c>
      <c r="H109" t="str">
        <f t="shared" si="7"/>
        <v>Iris-virginica</v>
      </c>
      <c r="I109">
        <f t="shared" si="8"/>
        <v>0</v>
      </c>
      <c r="J109">
        <f t="shared" si="9"/>
        <v>1.490331932930591E-3</v>
      </c>
    </row>
    <row r="110" spans="1:10">
      <c r="A110" t="s">
        <v>6</v>
      </c>
      <c r="B110">
        <v>6.7</v>
      </c>
      <c r="C110">
        <v>2.5</v>
      </c>
      <c r="D110">
        <v>5.8</v>
      </c>
      <c r="E110">
        <v>1.8</v>
      </c>
      <c r="F110">
        <f t="shared" si="6"/>
        <v>2</v>
      </c>
      <c r="G110" cm="1">
        <f t="array" ref="G110">MMULT(B110:E110,M$6:M$9)+M$5</f>
        <v>0.81876068337333419</v>
      </c>
      <c r="H110" t="str">
        <f t="shared" si="7"/>
        <v>Iris-virginica</v>
      </c>
      <c r="I110">
        <f t="shared" si="8"/>
        <v>0</v>
      </c>
      <c r="J110">
        <f t="shared" si="9"/>
        <v>1.5965946986611209E-3</v>
      </c>
    </row>
    <row r="111" spans="1:10">
      <c r="A111" t="s">
        <v>6</v>
      </c>
      <c r="B111">
        <v>7.2</v>
      </c>
      <c r="C111">
        <v>3.6</v>
      </c>
      <c r="D111">
        <v>6.1</v>
      </c>
      <c r="E111">
        <v>2.5</v>
      </c>
      <c r="F111">
        <f t="shared" si="6"/>
        <v>2</v>
      </c>
      <c r="G111" cm="1">
        <f t="array" ref="G111">MMULT(B111:E111,M$6:M$9)+M$5</f>
        <v>0.85887015943719547</v>
      </c>
      <c r="H111" t="str">
        <f t="shared" si="7"/>
        <v>Iris-virginica</v>
      </c>
      <c r="I111">
        <f t="shared" si="8"/>
        <v>0</v>
      </c>
      <c r="J111">
        <f t="shared" si="9"/>
        <v>6.4107064137919291E-3</v>
      </c>
    </row>
    <row r="112" spans="1:10">
      <c r="A112" t="s">
        <v>6</v>
      </c>
      <c r="B112">
        <v>6.5</v>
      </c>
      <c r="C112">
        <v>3.2</v>
      </c>
      <c r="D112">
        <v>5.0999999999999996</v>
      </c>
      <c r="E112">
        <v>2</v>
      </c>
      <c r="F112">
        <f t="shared" si="6"/>
        <v>2</v>
      </c>
      <c r="G112" cm="1">
        <f t="array" ref="G112">MMULT(B112:E112,M$6:M$9)+M$5</f>
        <v>0.67947015001085675</v>
      </c>
      <c r="H112" t="str">
        <f t="shared" si="7"/>
        <v>Iris-virginica</v>
      </c>
      <c r="I112">
        <f t="shared" si="8"/>
        <v>0</v>
      </c>
      <c r="J112">
        <f t="shared" si="9"/>
        <v>9.8670691862512705E-3</v>
      </c>
    </row>
    <row r="113" spans="1:10">
      <c r="A113" t="s">
        <v>6</v>
      </c>
      <c r="B113">
        <v>6.4</v>
      </c>
      <c r="C113">
        <v>2.7</v>
      </c>
      <c r="D113">
        <v>5.3</v>
      </c>
      <c r="E113">
        <v>1.9</v>
      </c>
      <c r="F113">
        <f t="shared" si="6"/>
        <v>2</v>
      </c>
      <c r="G113" cm="1">
        <f t="array" ref="G113">MMULT(B113:E113,M$6:M$9)+M$5</f>
        <v>0.75417978566002342</v>
      </c>
      <c r="H113" t="str">
        <f t="shared" si="7"/>
        <v>Iris-virginica</v>
      </c>
      <c r="I113">
        <f t="shared" si="8"/>
        <v>0</v>
      </c>
      <c r="J113">
        <f t="shared" si="9"/>
        <v>6.063160949390838E-4</v>
      </c>
    </row>
    <row r="114" spans="1:10">
      <c r="A114" t="s">
        <v>6</v>
      </c>
      <c r="B114">
        <v>6.8</v>
      </c>
      <c r="C114">
        <v>3</v>
      </c>
      <c r="D114">
        <v>5.5</v>
      </c>
      <c r="E114">
        <v>2.1</v>
      </c>
      <c r="F114">
        <f t="shared" si="6"/>
        <v>2</v>
      </c>
      <c r="G114" cm="1">
        <f t="array" ref="G114">MMULT(B114:E114,M$6:M$9)+M$5</f>
        <v>0.77017432888646142</v>
      </c>
      <c r="H114" t="str">
        <f t="shared" si="7"/>
        <v>Iris-virginica</v>
      </c>
      <c r="I114">
        <f t="shared" si="8"/>
        <v>0</v>
      </c>
      <c r="J114">
        <f t="shared" si="9"/>
        <v>7.4458664654817591E-5</v>
      </c>
    </row>
    <row r="115" spans="1:10">
      <c r="A115" t="s">
        <v>6</v>
      </c>
      <c r="B115">
        <v>5.7</v>
      </c>
      <c r="C115">
        <v>2.5</v>
      </c>
      <c r="D115">
        <v>5</v>
      </c>
      <c r="E115">
        <v>2</v>
      </c>
      <c r="F115">
        <f t="shared" si="6"/>
        <v>2</v>
      </c>
      <c r="G115" cm="1">
        <f t="array" ref="G115">MMULT(B115:E115,M$6:M$9)+M$5</f>
        <v>0.79221919559703391</v>
      </c>
      <c r="H115" t="str">
        <f t="shared" si="7"/>
        <v>Iris-virginica</v>
      </c>
      <c r="I115">
        <f t="shared" si="8"/>
        <v>0</v>
      </c>
      <c r="J115">
        <f t="shared" si="9"/>
        <v>1.7998699756865811E-4</v>
      </c>
    </row>
    <row r="116" spans="1:10">
      <c r="A116" t="s">
        <v>6</v>
      </c>
      <c r="B116">
        <v>5.8</v>
      </c>
      <c r="C116">
        <v>2.8</v>
      </c>
      <c r="D116">
        <v>5.0999999999999996</v>
      </c>
      <c r="E116">
        <v>2.4</v>
      </c>
      <c r="F116">
        <f t="shared" si="6"/>
        <v>2</v>
      </c>
      <c r="G116" cm="1">
        <f t="array" ref="G116">MMULT(B116:E116,M$6:M$9)+M$5</f>
        <v>0.85256312441125426</v>
      </c>
      <c r="H116" t="str">
        <f t="shared" si="7"/>
        <v>Iris-virginica</v>
      </c>
      <c r="I116">
        <f t="shared" si="8"/>
        <v>0</v>
      </c>
      <c r="J116">
        <f t="shared" si="9"/>
        <v>5.4405157815869938E-3</v>
      </c>
    </row>
    <row r="117" spans="1:10">
      <c r="A117" t="s">
        <v>6</v>
      </c>
      <c r="B117">
        <v>6.4</v>
      </c>
      <c r="C117">
        <v>3.2</v>
      </c>
      <c r="D117">
        <v>5.3</v>
      </c>
      <c r="E117">
        <v>2.2999999999999998</v>
      </c>
      <c r="F117">
        <f t="shared" si="6"/>
        <v>2</v>
      </c>
      <c r="G117" cm="1">
        <f t="array" ref="G117">MMULT(B117:E117,M$6:M$9)+M$5</f>
        <v>0.78143966507457163</v>
      </c>
      <c r="H117" t="str">
        <f t="shared" si="7"/>
        <v>Iris-virginica</v>
      </c>
      <c r="I117">
        <f t="shared" si="8"/>
        <v>0</v>
      </c>
      <c r="J117">
        <f t="shared" si="9"/>
        <v>6.9505667943628372E-6</v>
      </c>
    </row>
    <row r="118" spans="1:10">
      <c r="A118" t="s">
        <v>6</v>
      </c>
      <c r="B118">
        <v>6.5</v>
      </c>
      <c r="C118">
        <v>3</v>
      </c>
      <c r="D118">
        <v>5.5</v>
      </c>
      <c r="E118">
        <v>1.8</v>
      </c>
      <c r="F118">
        <f t="shared" si="6"/>
        <v>2</v>
      </c>
      <c r="G118" cm="1">
        <f t="array" ref="G118">MMULT(B118:E118,M$6:M$9)+M$5</f>
        <v>0.72491155792060469</v>
      </c>
      <c r="H118" t="str">
        <f t="shared" si="7"/>
        <v>Iris-virginica</v>
      </c>
      <c r="I118">
        <f t="shared" si="8"/>
        <v>0</v>
      </c>
      <c r="J118">
        <f t="shared" si="9"/>
        <v>2.9043168801291138E-3</v>
      </c>
    </row>
    <row r="119" spans="1:10">
      <c r="A119" t="s">
        <v>6</v>
      </c>
      <c r="B119">
        <v>7.7</v>
      </c>
      <c r="C119">
        <v>3.8</v>
      </c>
      <c r="D119">
        <v>6.7</v>
      </c>
      <c r="E119">
        <v>2.2000000000000002</v>
      </c>
      <c r="F119">
        <f t="shared" si="6"/>
        <v>2</v>
      </c>
      <c r="G119" cm="1">
        <f t="array" ref="G119">MMULT(B119:E119,M$6:M$9)+M$5</f>
        <v>0.83926347615209074</v>
      </c>
      <c r="H119" t="str">
        <f t="shared" si="7"/>
        <v>Iris-virginica</v>
      </c>
      <c r="I119">
        <f t="shared" si="8"/>
        <v>0</v>
      </c>
      <c r="J119">
        <f t="shared" si="9"/>
        <v>3.6554362482895263E-3</v>
      </c>
    </row>
    <row r="120" spans="1:10">
      <c r="A120" t="s">
        <v>6</v>
      </c>
      <c r="B120">
        <v>7.7</v>
      </c>
      <c r="C120">
        <v>2.6</v>
      </c>
      <c r="D120">
        <v>6.9</v>
      </c>
      <c r="E120">
        <v>2.2999999999999998</v>
      </c>
      <c r="F120">
        <f t="shared" si="6"/>
        <v>2</v>
      </c>
      <c r="G120" cm="1">
        <f t="array" ref="G120">MMULT(B120:E120,M$6:M$9)+M$5</f>
        <v>1.0305723968038014</v>
      </c>
      <c r="H120" t="str">
        <f t="shared" si="7"/>
        <v>Iris-virginica</v>
      </c>
      <c r="I120">
        <f t="shared" si="8"/>
        <v>0</v>
      </c>
      <c r="J120">
        <f t="shared" si="9"/>
        <v>6.3387692046969285E-2</v>
      </c>
    </row>
    <row r="121" spans="1:10">
      <c r="A121" t="s">
        <v>6</v>
      </c>
      <c r="B121">
        <v>6</v>
      </c>
      <c r="C121">
        <v>2.2000000000000002</v>
      </c>
      <c r="D121">
        <v>5</v>
      </c>
      <c r="E121">
        <v>1.5</v>
      </c>
      <c r="F121">
        <f t="shared" si="6"/>
        <v>2</v>
      </c>
      <c r="G121" cm="1">
        <f t="array" ref="G121">MMULT(B121:E121,M$6:M$9)+M$5</f>
        <v>0.70261347151698339</v>
      </c>
      <c r="H121" t="str">
        <f t="shared" si="7"/>
        <v>Iris-virginica</v>
      </c>
      <c r="I121">
        <f t="shared" si="8"/>
        <v>0</v>
      </c>
      <c r="J121">
        <f t="shared" si="9"/>
        <v>5.804885745305033E-3</v>
      </c>
    </row>
    <row r="122" spans="1:10">
      <c r="A122" t="s">
        <v>6</v>
      </c>
      <c r="B122">
        <v>6.9</v>
      </c>
      <c r="C122">
        <v>3.2</v>
      </c>
      <c r="D122">
        <v>5.7</v>
      </c>
      <c r="E122">
        <v>2.2999999999999998</v>
      </c>
      <c r="F122">
        <f t="shared" si="6"/>
        <v>2</v>
      </c>
      <c r="G122" cm="1">
        <f t="array" ref="G122">MMULT(B122:E122,M$6:M$9)+M$5</f>
        <v>0.81587336742650374</v>
      </c>
      <c r="H122" t="str">
        <f t="shared" si="7"/>
        <v>Iris-virginica</v>
      </c>
      <c r="I122">
        <f t="shared" si="8"/>
        <v>0</v>
      </c>
      <c r="J122">
        <f t="shared" si="9"/>
        <v>1.374191951739618E-3</v>
      </c>
    </row>
    <row r="123" spans="1:10">
      <c r="A123" t="s">
        <v>6</v>
      </c>
      <c r="B123">
        <v>5.6</v>
      </c>
      <c r="C123">
        <v>2.8</v>
      </c>
      <c r="D123">
        <v>4.9000000000000004</v>
      </c>
      <c r="E123">
        <v>2</v>
      </c>
      <c r="F123">
        <f t="shared" si="6"/>
        <v>2</v>
      </c>
      <c r="G123" cm="1">
        <f t="array" ref="G123">MMULT(B123:E123,M$6:M$9)+M$5</f>
        <v>0.74765675530924625</v>
      </c>
      <c r="H123" t="str">
        <f t="shared" si="7"/>
        <v>Iris-virginica</v>
      </c>
      <c r="I123">
        <f t="shared" si="8"/>
        <v>0</v>
      </c>
      <c r="J123">
        <f t="shared" si="9"/>
        <v>9.7010552145217893E-4</v>
      </c>
    </row>
    <row r="124" spans="1:10">
      <c r="A124" t="s">
        <v>6</v>
      </c>
      <c r="B124">
        <v>7.7</v>
      </c>
      <c r="C124">
        <v>2.8</v>
      </c>
      <c r="D124">
        <v>6.7</v>
      </c>
      <c r="E124">
        <v>2</v>
      </c>
      <c r="F124">
        <f t="shared" si="6"/>
        <v>2</v>
      </c>
      <c r="G124" cm="1">
        <f t="array" ref="G124">MMULT(B124:E124,M$6:M$9)+M$5</f>
        <v>0.91172146810568477</v>
      </c>
      <c r="H124" t="str">
        <f t="shared" si="7"/>
        <v>Iris-virginica</v>
      </c>
      <c r="I124">
        <f t="shared" si="8"/>
        <v>0</v>
      </c>
      <c r="J124">
        <f t="shared" si="9"/>
        <v>1.7667246772837718E-2</v>
      </c>
    </row>
    <row r="125" spans="1:10">
      <c r="A125" t="s">
        <v>6</v>
      </c>
      <c r="B125">
        <v>6.3</v>
      </c>
      <c r="C125">
        <v>2.7</v>
      </c>
      <c r="D125">
        <v>4.9000000000000004</v>
      </c>
      <c r="E125">
        <v>1.8</v>
      </c>
      <c r="F125">
        <f t="shared" si="6"/>
        <v>2</v>
      </c>
      <c r="G125" cm="1">
        <f t="array" ref="G125">MMULT(B125:E125,M$6:M$9)+M$5</f>
        <v>0.67428165227699133</v>
      </c>
      <c r="H125" t="str">
        <f t="shared" si="7"/>
        <v>Iris-virginica</v>
      </c>
      <c r="I125">
        <f t="shared" si="8"/>
        <v>0</v>
      </c>
      <c r="J125">
        <f t="shared" si="9"/>
        <v>1.0924769054908336E-2</v>
      </c>
    </row>
    <row r="126" spans="1:10">
      <c r="A126" t="s">
        <v>6</v>
      </c>
      <c r="B126">
        <v>6.7</v>
      </c>
      <c r="C126">
        <v>3.3</v>
      </c>
      <c r="D126">
        <v>5.7</v>
      </c>
      <c r="E126">
        <v>2.1</v>
      </c>
      <c r="F126">
        <f t="shared" si="6"/>
        <v>2</v>
      </c>
      <c r="G126" cm="1">
        <f t="array" ref="G126">MMULT(B126:E126,M$6:M$9)+M$5</f>
        <v>0.77421979589448364</v>
      </c>
      <c r="H126" t="str">
        <f t="shared" si="7"/>
        <v>Iris-virginica</v>
      </c>
      <c r="I126">
        <f t="shared" si="8"/>
        <v>0</v>
      </c>
      <c r="J126">
        <f t="shared" si="9"/>
        <v>2.1008256077190898E-5</v>
      </c>
    </row>
    <row r="127" spans="1:10">
      <c r="A127" t="s">
        <v>6</v>
      </c>
      <c r="B127">
        <v>7.2</v>
      </c>
      <c r="C127">
        <v>3.2</v>
      </c>
      <c r="D127">
        <v>6</v>
      </c>
      <c r="E127">
        <v>1.8</v>
      </c>
      <c r="F127">
        <f t="shared" si="6"/>
        <v>2</v>
      </c>
      <c r="G127" cm="1">
        <f t="array" ref="G127">MMULT(B127:E127,M$6:M$9)+M$5</f>
        <v>0.74044037797791595</v>
      </c>
      <c r="H127" t="str">
        <f t="shared" si="7"/>
        <v>Iris-virginica</v>
      </c>
      <c r="I127">
        <f t="shared" si="8"/>
        <v>0</v>
      </c>
      <c r="J127">
        <f t="shared" si="9"/>
        <v>1.4717116617488821E-3</v>
      </c>
    </row>
    <row r="128" spans="1:10">
      <c r="A128" t="s">
        <v>6</v>
      </c>
      <c r="B128">
        <v>6.2</v>
      </c>
      <c r="C128">
        <v>2.8</v>
      </c>
      <c r="D128">
        <v>4.8</v>
      </c>
      <c r="E128">
        <v>1.8</v>
      </c>
      <c r="F128">
        <f t="shared" si="6"/>
        <v>2</v>
      </c>
      <c r="G128" cm="1">
        <f t="array" ref="G128">MMULT(B128:E128,M$6:M$9)+M$5</f>
        <v>0.65267599376543517</v>
      </c>
      <c r="H128" t="str">
        <f t="shared" si="7"/>
        <v>Iris-virginica</v>
      </c>
      <c r="I128">
        <f t="shared" si="8"/>
        <v>0</v>
      </c>
      <c r="J128">
        <f t="shared" si="9"/>
        <v>1.5908090393762595E-2</v>
      </c>
    </row>
    <row r="129" spans="1:10">
      <c r="A129" t="s">
        <v>6</v>
      </c>
      <c r="B129">
        <v>6.1</v>
      </c>
      <c r="C129">
        <v>3</v>
      </c>
      <c r="D129">
        <v>4.9000000000000004</v>
      </c>
      <c r="E129">
        <v>1.8</v>
      </c>
      <c r="F129">
        <f t="shared" si="6"/>
        <v>2</v>
      </c>
      <c r="G129" cm="1">
        <f t="array" ref="G129">MMULT(B129:E129,M$6:M$9)+M$5</f>
        <v>0.65199721589630333</v>
      </c>
      <c r="H129" t="str">
        <f t="shared" si="7"/>
        <v>Iris-virginica</v>
      </c>
      <c r="I129">
        <f t="shared" si="8"/>
        <v>0</v>
      </c>
      <c r="J129">
        <f t="shared" si="9"/>
        <v>1.6079775943901767E-2</v>
      </c>
    </row>
    <row r="130" spans="1:10">
      <c r="A130" t="s">
        <v>6</v>
      </c>
      <c r="B130">
        <v>6.4</v>
      </c>
      <c r="C130">
        <v>2.8</v>
      </c>
      <c r="D130">
        <v>5.6</v>
      </c>
      <c r="E130">
        <v>2.1</v>
      </c>
      <c r="F130">
        <f t="shared" si="6"/>
        <v>2</v>
      </c>
      <c r="G130" cm="1">
        <f t="array" ref="G130">MMULT(B130:E130,M$6:M$9)+M$5</f>
        <v>0.83363521899528115</v>
      </c>
      <c r="H130" t="str">
        <f t="shared" si="7"/>
        <v>Iris-virginica</v>
      </c>
      <c r="I130">
        <f t="shared" si="8"/>
        <v>0</v>
      </c>
      <c r="J130">
        <f t="shared" si="9"/>
        <v>3.0065423769913076E-3</v>
      </c>
    </row>
    <row r="131" spans="1:10">
      <c r="A131" t="s">
        <v>6</v>
      </c>
      <c r="B131">
        <v>7.2</v>
      </c>
      <c r="C131">
        <v>3</v>
      </c>
      <c r="D131">
        <v>5.8</v>
      </c>
      <c r="E131">
        <v>1.6</v>
      </c>
      <c r="F131">
        <f t="shared" ref="F131:F151" si="10">IF(A131=$L$1,$K$1,IF(A131=$L$2,$K$2,$K$3))</f>
        <v>2</v>
      </c>
      <c r="G131" cm="1">
        <f t="array" ref="G131">MMULT(B131:E131,M$6:M$9)+M$5</f>
        <v>0.68866597129604401</v>
      </c>
      <c r="H131" t="str">
        <f t="shared" ref="H131:H151" si="11">IF(G131&lt;$M$12,L$1,IF(G131&lt;$M$13,L$2,L$3))</f>
        <v>Iris-virginica</v>
      </c>
      <c r="I131">
        <f t="shared" ref="I131:I151" si="12">IF(A131=H131,0,1)</f>
        <v>0</v>
      </c>
      <c r="J131">
        <f t="shared" ref="J131:J151" si="13">IF(F131=K$1,(G131-K$12)^2,IF(F131=K$2,(G131-K$13)^2,(G131-K$14)^2))</f>
        <v>8.1247330345838795E-3</v>
      </c>
    </row>
    <row r="132" spans="1:10">
      <c r="A132" t="s">
        <v>6</v>
      </c>
      <c r="B132">
        <v>7.4</v>
      </c>
      <c r="C132">
        <v>2.8</v>
      </c>
      <c r="D132">
        <v>6.1</v>
      </c>
      <c r="E132">
        <v>1.9</v>
      </c>
      <c r="F132">
        <f t="shared" si="10"/>
        <v>2</v>
      </c>
      <c r="G132" cm="1">
        <f t="array" ref="G132">MMULT(B132:E132,M$6:M$9)+M$5</f>
        <v>0.81156879947577154</v>
      </c>
      <c r="H132" t="str">
        <f t="shared" si="11"/>
        <v>Iris-virginica</v>
      </c>
      <c r="I132">
        <f t="shared" si="12"/>
        <v>0</v>
      </c>
      <c r="J132">
        <f t="shared" si="13"/>
        <v>1.0735797702679352E-3</v>
      </c>
    </row>
    <row r="133" spans="1:10">
      <c r="A133" t="s">
        <v>6</v>
      </c>
      <c r="B133">
        <v>7.9</v>
      </c>
      <c r="C133">
        <v>3.8</v>
      </c>
      <c r="D133">
        <v>6.4</v>
      </c>
      <c r="E133">
        <v>2</v>
      </c>
      <c r="F133">
        <f t="shared" si="10"/>
        <v>2</v>
      </c>
      <c r="G133" cm="1">
        <f t="array" ref="G133">MMULT(B133:E133,M$6:M$9)+M$5</f>
        <v>0.736178915645058</v>
      </c>
      <c r="H133" t="str">
        <f t="shared" si="11"/>
        <v>Iris-virginica</v>
      </c>
      <c r="I133">
        <f t="shared" si="12"/>
        <v>0</v>
      </c>
      <c r="J133">
        <f t="shared" si="13"/>
        <v>1.8168357813382195E-3</v>
      </c>
    </row>
    <row r="134" spans="1:10">
      <c r="A134" t="s">
        <v>6</v>
      </c>
      <c r="B134">
        <v>6.4</v>
      </c>
      <c r="C134">
        <v>2.8</v>
      </c>
      <c r="D134">
        <v>5.6</v>
      </c>
      <c r="E134">
        <v>2.2000000000000002</v>
      </c>
      <c r="F134">
        <f t="shared" si="10"/>
        <v>2</v>
      </c>
      <c r="G134" cm="1">
        <f t="array" ref="G134">MMULT(B134:E134,M$6:M$9)+M$5</f>
        <v>0.85479817745906295</v>
      </c>
      <c r="H134" t="str">
        <f t="shared" si="11"/>
        <v>Iris-virginica</v>
      </c>
      <c r="I134">
        <f t="shared" si="12"/>
        <v>0</v>
      </c>
      <c r="J134">
        <f t="shared" si="13"/>
        <v>5.7752256081906837E-3</v>
      </c>
    </row>
    <row r="135" spans="1:10">
      <c r="A135" t="s">
        <v>6</v>
      </c>
      <c r="B135">
        <v>6.3</v>
      </c>
      <c r="C135">
        <v>2.8</v>
      </c>
      <c r="D135">
        <v>5.0999999999999996</v>
      </c>
      <c r="E135">
        <v>1.5</v>
      </c>
      <c r="F135">
        <f t="shared" si="10"/>
        <v>2</v>
      </c>
      <c r="G135" cm="1">
        <f t="array" ref="G135">MMULT(B135:E135,M$6:M$9)+M$5</f>
        <v>0.63171965752807013</v>
      </c>
      <c r="H135" t="str">
        <f t="shared" si="11"/>
        <v>Iris-virginica</v>
      </c>
      <c r="I135">
        <f t="shared" si="12"/>
        <v>0</v>
      </c>
      <c r="J135">
        <f t="shared" si="13"/>
        <v>2.1633589738140519E-2</v>
      </c>
    </row>
    <row r="136" spans="1:10">
      <c r="A136" t="s">
        <v>6</v>
      </c>
      <c r="B136">
        <v>6.1</v>
      </c>
      <c r="C136">
        <v>2.6</v>
      </c>
      <c r="D136">
        <v>5.6</v>
      </c>
      <c r="E136">
        <v>1.4</v>
      </c>
      <c r="F136">
        <f t="shared" si="10"/>
        <v>2</v>
      </c>
      <c r="G136" cm="1">
        <f t="array" ref="G136">MMULT(B136:E136,M$6:M$9)+M$5</f>
        <v>0.72667739595052883</v>
      </c>
      <c r="H136" t="str">
        <f t="shared" si="11"/>
        <v>Iris-virginica</v>
      </c>
      <c r="I136">
        <f t="shared" si="12"/>
        <v>0</v>
      </c>
      <c r="J136">
        <f t="shared" si="13"/>
        <v>2.7171069865339703E-3</v>
      </c>
    </row>
    <row r="137" spans="1:10">
      <c r="A137" t="s">
        <v>6</v>
      </c>
      <c r="B137">
        <v>7.7</v>
      </c>
      <c r="C137">
        <v>3</v>
      </c>
      <c r="D137">
        <v>6.1</v>
      </c>
      <c r="E137">
        <v>2.2999999999999998</v>
      </c>
      <c r="F137">
        <f t="shared" si="10"/>
        <v>2</v>
      </c>
      <c r="G137" cm="1">
        <f t="array" ref="G137">MMULT(B137:E137,M$6:M$9)+M$5</f>
        <v>0.85503774712917835</v>
      </c>
      <c r="H137" t="str">
        <f t="shared" si="11"/>
        <v>Iris-virginica</v>
      </c>
      <c r="I137">
        <f t="shared" si="12"/>
        <v>0</v>
      </c>
      <c r="J137">
        <f t="shared" si="13"/>
        <v>5.8116951505302102E-3</v>
      </c>
    </row>
    <row r="138" spans="1:10">
      <c r="A138" t="s">
        <v>6</v>
      </c>
      <c r="B138">
        <v>6.3</v>
      </c>
      <c r="C138">
        <v>3.4</v>
      </c>
      <c r="D138">
        <v>5.6</v>
      </c>
      <c r="E138">
        <v>2.4</v>
      </c>
      <c r="F138">
        <f t="shared" si="10"/>
        <v>2</v>
      </c>
      <c r="G138" cm="1">
        <f t="array" ref="G138">MMULT(B138:E138,M$6:M$9)+M$5</f>
        <v>0.83432911719976155</v>
      </c>
      <c r="H138" t="str">
        <f t="shared" si="11"/>
        <v>Iris-virginica</v>
      </c>
      <c r="I138">
        <f t="shared" si="12"/>
        <v>0</v>
      </c>
      <c r="J138">
        <f t="shared" si="13"/>
        <v>3.0831194504117774E-3</v>
      </c>
    </row>
    <row r="139" spans="1:10">
      <c r="A139" t="s">
        <v>6</v>
      </c>
      <c r="B139">
        <v>6.4</v>
      </c>
      <c r="C139">
        <v>3.1</v>
      </c>
      <c r="D139">
        <v>5.5</v>
      </c>
      <c r="E139">
        <v>1.8</v>
      </c>
      <c r="F139">
        <f t="shared" si="10"/>
        <v>2</v>
      </c>
      <c r="G139" cm="1">
        <f t="array" ref="G139">MMULT(B139:E139,M$6:M$9)+M$5</f>
        <v>0.71950853517431856</v>
      </c>
      <c r="H139" t="str">
        <f t="shared" si="11"/>
        <v>Iris-virginica</v>
      </c>
      <c r="I139">
        <f t="shared" si="12"/>
        <v>0</v>
      </c>
      <c r="J139">
        <f t="shared" si="13"/>
        <v>3.5158658523206879E-3</v>
      </c>
    </row>
    <row r="140" spans="1:10">
      <c r="A140" t="s">
        <v>6</v>
      </c>
      <c r="B140">
        <v>6</v>
      </c>
      <c r="C140">
        <v>3</v>
      </c>
      <c r="D140">
        <v>4.8</v>
      </c>
      <c r="E140">
        <v>1.8</v>
      </c>
      <c r="F140">
        <f t="shared" si="10"/>
        <v>2</v>
      </c>
      <c r="G140" cm="1">
        <f t="array" ref="G140">MMULT(B140:E140,M$6:M$9)+M$5</f>
        <v>0.64186994827286281</v>
      </c>
      <c r="H140" t="str">
        <f t="shared" si="11"/>
        <v>Iris-virginica</v>
      </c>
      <c r="I140">
        <f t="shared" si="12"/>
        <v>0</v>
      </c>
      <c r="J140">
        <f t="shared" si="13"/>
        <v>1.875073523262431E-2</v>
      </c>
    </row>
    <row r="141" spans="1:10">
      <c r="A141" t="s">
        <v>6</v>
      </c>
      <c r="B141">
        <v>6.9</v>
      </c>
      <c r="C141">
        <v>3.1</v>
      </c>
      <c r="D141">
        <v>5.4</v>
      </c>
      <c r="E141">
        <v>2.1</v>
      </c>
      <c r="F141">
        <f t="shared" si="10"/>
        <v>2</v>
      </c>
      <c r="G141" cm="1">
        <f t="array" ref="G141">MMULT(B141:E141,M$6:M$9)+M$5</f>
        <v>0.73641793409124612</v>
      </c>
      <c r="H141" t="str">
        <f t="shared" si="11"/>
        <v>Iris-virginica</v>
      </c>
      <c r="I141">
        <f t="shared" si="12"/>
        <v>0</v>
      </c>
      <c r="J141">
        <f t="shared" si="13"/>
        <v>1.7965168961548575E-3</v>
      </c>
    </row>
    <row r="142" spans="1:10">
      <c r="A142" t="s">
        <v>6</v>
      </c>
      <c r="B142">
        <v>6.7</v>
      </c>
      <c r="C142">
        <v>3.1</v>
      </c>
      <c r="D142">
        <v>5.6</v>
      </c>
      <c r="E142">
        <v>2.4</v>
      </c>
      <c r="F142">
        <f t="shared" si="10"/>
        <v>2</v>
      </c>
      <c r="G142" cm="1">
        <f t="array" ref="G142">MMULT(B142:E142,M$6:M$9)+M$5</f>
        <v>0.84446281729679051</v>
      </c>
      <c r="H142" t="str">
        <f t="shared" si="11"/>
        <v>Iris-virginica</v>
      </c>
      <c r="I142">
        <f t="shared" si="12"/>
        <v>0</v>
      </c>
      <c r="J142">
        <f t="shared" si="13"/>
        <v>4.3111758475056945E-3</v>
      </c>
    </row>
    <row r="143" spans="1:10">
      <c r="A143" t="s">
        <v>6</v>
      </c>
      <c r="B143">
        <v>6.9</v>
      </c>
      <c r="C143">
        <v>3.1</v>
      </c>
      <c r="D143">
        <v>5.0999999999999996</v>
      </c>
      <c r="E143">
        <v>2.2999999999999998</v>
      </c>
      <c r="F143">
        <f t="shared" si="10"/>
        <v>2</v>
      </c>
      <c r="G143" cm="1">
        <f t="array" ref="G143">MMULT(B143:E143,M$6:M$9)+M$5</f>
        <v>0.73013594372299973</v>
      </c>
      <c r="H143" t="str">
        <f t="shared" si="11"/>
        <v>Iris-virginica</v>
      </c>
      <c r="I143">
        <f t="shared" si="12"/>
        <v>0</v>
      </c>
      <c r="J143">
        <f t="shared" si="13"/>
        <v>2.3685088720668346E-3</v>
      </c>
    </row>
    <row r="144" spans="1:10">
      <c r="A144" t="s">
        <v>6</v>
      </c>
      <c r="B144">
        <v>5.8</v>
      </c>
      <c r="C144">
        <v>2.7</v>
      </c>
      <c r="D144">
        <v>5.0999999999999996</v>
      </c>
      <c r="E144">
        <v>1.9</v>
      </c>
      <c r="F144">
        <f t="shared" si="10"/>
        <v>2</v>
      </c>
      <c r="G144" cm="1">
        <f t="array" ref="G144">MMULT(B144:E144,M$6:M$9)+M$5</f>
        <v>0.7582267229804609</v>
      </c>
      <c r="H144" t="str">
        <f t="shared" si="11"/>
        <v>Iris-virginica</v>
      </c>
      <c r="I144">
        <f t="shared" si="12"/>
        <v>0</v>
      </c>
      <c r="J144">
        <f t="shared" si="13"/>
        <v>4.2339438242586485E-4</v>
      </c>
    </row>
    <row r="145" spans="1:10">
      <c r="A145" t="s">
        <v>6</v>
      </c>
      <c r="B145">
        <v>6.8</v>
      </c>
      <c r="C145">
        <v>3.2</v>
      </c>
      <c r="D145">
        <v>5.9</v>
      </c>
      <c r="E145">
        <v>2.2999999999999998</v>
      </c>
      <c r="F145">
        <f t="shared" si="10"/>
        <v>2</v>
      </c>
      <c r="G145" cm="1">
        <f t="array" ref="G145">MMULT(B145:E145,M$6:M$9)+M$5</f>
        <v>0.85435400709887332</v>
      </c>
      <c r="H145" t="str">
        <f t="shared" si="11"/>
        <v>Iris-virginica</v>
      </c>
      <c r="I145">
        <f t="shared" si="12"/>
        <v>0</v>
      </c>
      <c r="J145">
        <f t="shared" si="13"/>
        <v>5.7079135267167642E-3</v>
      </c>
    </row>
    <row r="146" spans="1:10">
      <c r="A146" t="s">
        <v>6</v>
      </c>
      <c r="B146">
        <v>6.7</v>
      </c>
      <c r="C146">
        <v>3.3</v>
      </c>
      <c r="D146">
        <v>5.7</v>
      </c>
      <c r="E146">
        <v>2.5</v>
      </c>
      <c r="F146">
        <f t="shared" si="10"/>
        <v>2</v>
      </c>
      <c r="G146" cm="1">
        <f t="array" ref="G146">MMULT(B146:E146,M$6:M$9)+M$5</f>
        <v>0.85887162974961084</v>
      </c>
      <c r="H146" t="str">
        <f t="shared" si="11"/>
        <v>Iris-virginica</v>
      </c>
      <c r="I146">
        <f t="shared" si="12"/>
        <v>0</v>
      </c>
      <c r="J146">
        <f t="shared" si="13"/>
        <v>6.4109418626301469E-3</v>
      </c>
    </row>
    <row r="147" spans="1:10">
      <c r="A147" t="s">
        <v>6</v>
      </c>
      <c r="B147">
        <v>6.7</v>
      </c>
      <c r="C147">
        <v>3</v>
      </c>
      <c r="D147">
        <v>5.2</v>
      </c>
      <c r="E147">
        <v>2.2999999999999998</v>
      </c>
      <c r="F147">
        <f t="shared" si="10"/>
        <v>2</v>
      </c>
      <c r="G147" cm="1">
        <f t="array" ref="G147">MMULT(B147:E147,M$6:M$9)+M$5</f>
        <v>0.76996770666004455</v>
      </c>
      <c r="H147" t="str">
        <f t="shared" si="11"/>
        <v>Iris-virginica</v>
      </c>
      <c r="I147">
        <f t="shared" si="12"/>
        <v>0</v>
      </c>
      <c r="J147">
        <f t="shared" si="13"/>
        <v>7.8067220404014521E-5</v>
      </c>
    </row>
    <row r="148" spans="1:10">
      <c r="A148" t="s">
        <v>6</v>
      </c>
      <c r="B148">
        <v>6.3</v>
      </c>
      <c r="C148">
        <v>2.5</v>
      </c>
      <c r="D148">
        <v>5</v>
      </c>
      <c r="E148">
        <v>1.9</v>
      </c>
      <c r="F148">
        <f t="shared" si="10"/>
        <v>2</v>
      </c>
      <c r="G148" cm="1">
        <f t="array" ref="G148">MMULT(B148:E148,M$6:M$9)+M$5</f>
        <v>0.73460402828227467</v>
      </c>
      <c r="H148" t="str">
        <f t="shared" si="11"/>
        <v>Iris-virginica</v>
      </c>
      <c r="I148">
        <f t="shared" si="12"/>
        <v>0</v>
      </c>
      <c r="J148">
        <f t="shared" si="13"/>
        <v>1.953573172869242E-3</v>
      </c>
    </row>
    <row r="149" spans="1:10">
      <c r="A149" t="s">
        <v>6</v>
      </c>
      <c r="B149">
        <v>6.5</v>
      </c>
      <c r="C149">
        <v>3</v>
      </c>
      <c r="D149">
        <v>5.2</v>
      </c>
      <c r="E149">
        <v>2</v>
      </c>
      <c r="F149">
        <f t="shared" si="10"/>
        <v>2</v>
      </c>
      <c r="G149" cm="1">
        <f t="array" ref="G149">MMULT(B149:E149,M$6:M$9)+M$5</f>
        <v>0.71862956755235841</v>
      </c>
      <c r="H149" t="str">
        <f t="shared" si="11"/>
        <v>Iris-virginica</v>
      </c>
      <c r="I149">
        <f t="shared" si="12"/>
        <v>0</v>
      </c>
      <c r="J149">
        <f t="shared" si="13"/>
        <v>3.6208747445958559E-3</v>
      </c>
    </row>
    <row r="150" spans="1:10">
      <c r="A150" t="s">
        <v>6</v>
      </c>
      <c r="B150">
        <v>6.2</v>
      </c>
      <c r="C150">
        <v>3.4</v>
      </c>
      <c r="D150">
        <v>5.4</v>
      </c>
      <c r="E150">
        <v>2.2999999999999998</v>
      </c>
      <c r="F150">
        <f t="shared" si="10"/>
        <v>2</v>
      </c>
      <c r="G150" cm="1">
        <f t="array" ref="G150">MMULT(B150:E150,M$6:M$9)+M$5</f>
        <v>0.78683625534726942</v>
      </c>
      <c r="H150" t="str">
        <f t="shared" si="11"/>
        <v>Iris-virginica</v>
      </c>
      <c r="I150">
        <f t="shared" si="12"/>
        <v>0</v>
      </c>
      <c r="J150">
        <f t="shared" si="13"/>
        <v>6.4528816432198407E-5</v>
      </c>
    </row>
    <row r="151" spans="1:10">
      <c r="A151" t="s">
        <v>6</v>
      </c>
      <c r="B151">
        <v>5.9</v>
      </c>
      <c r="C151">
        <v>3</v>
      </c>
      <c r="D151">
        <v>5.0999999999999996</v>
      </c>
      <c r="E151">
        <v>1.8</v>
      </c>
      <c r="F151">
        <f t="shared" si="10"/>
        <v>2</v>
      </c>
      <c r="G151" cm="1">
        <f t="array" ref="G151">MMULT(B151:E151,M$6:M$9)+M$5</f>
        <v>0.69655322371050221</v>
      </c>
      <c r="H151" t="str">
        <f t="shared" si="11"/>
        <v>Iris-virginica</v>
      </c>
      <c r="I151">
        <f t="shared" si="12"/>
        <v>0</v>
      </c>
      <c r="J151">
        <f t="shared" si="13"/>
        <v>6.7650704950790695E-3</v>
      </c>
    </row>
  </sheetData>
  <mergeCells count="1">
    <mergeCell ref="K16:L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FAD4D9-8F8B-4EBD-A62E-95B1F90F62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2026-05-14T15:49:41Z</dcterms:modified>
</cp:coreProperties>
</file>