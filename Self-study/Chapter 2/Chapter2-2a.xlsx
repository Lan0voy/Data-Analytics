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2B8D8FE-32D5-4A7A-AB49-C5E8D695BB1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 a="1"/>
  <c r="C11" i="1" s="1"/>
  <c r="C12" i="1" a="1"/>
  <c r="C12" i="1" s="1"/>
  <c r="C13" i="1" a="1"/>
  <c r="C13" i="1" s="1"/>
  <c r="C14" i="1" a="1"/>
  <c r="C14" i="1" s="1"/>
  <c r="E5" i="1" l="1"/>
  <c r="F5" i="1" s="1"/>
  <c r="E6" i="1"/>
  <c r="F6" i="1" s="1"/>
  <c r="E7" i="1"/>
  <c r="F7" i="1" s="1"/>
  <c r="E8" i="1"/>
  <c r="F8" i="1" s="1"/>
  <c r="E9" i="1"/>
  <c r="F9" i="1" s="1"/>
  <c r="E4" i="1"/>
  <c r="F4" i="1" s="1"/>
  <c r="E2" i="1"/>
  <c r="F2" i="1" s="1"/>
  <c r="E3" i="1"/>
  <c r="F3" i="1" s="1"/>
  <c r="F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<sst xmlns="http://schemas.openxmlformats.org/spreadsheetml/2006/main" count="23" uniqueCount="20">
  <si>
    <t>Temperature (F)</t>
  </si>
  <si>
    <t>Ice Cream Sale (dollar in thousand)</t>
  </si>
  <si>
    <t>Tourists</t>
  </si>
  <si>
    <t>Sunny Days</t>
  </si>
  <si>
    <t>Temperature</t>
  </si>
  <si>
    <t>Y-intercept</t>
  </si>
  <si>
    <t>Predicted</t>
  </si>
  <si>
    <t>Error</t>
  </si>
  <si>
    <t>Sum of Errors</t>
  </si>
  <si>
    <t>с11 строит линейную регрессию.
То есть Excel пытается найти такую формулу: y = m1*x1 + m2*x2 + m3*x3 + b</t>
  </si>
  <si>
    <t>D</t>
  </si>
  <si>
    <t>Sales</t>
  </si>
  <si>
    <t>Commissions</t>
  </si>
  <si>
    <t>Q3</t>
  </si>
  <si>
    <t>Q4</t>
  </si>
  <si>
    <t>х1</t>
  </si>
  <si>
    <t>х2</t>
  </si>
  <si>
    <t>х3</t>
  </si>
  <si>
    <t>у</t>
  </si>
  <si>
    <t>Index - потому что линейн возвращает не одно число и тогда берем нужное значение по коеффициенту из В11-14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</si>
</sst>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1039</xdr:row>
      <xdr:rowOff>0</xdr:rowOff>
    </xdr:from>
    <xdr:to>
      <xdr:col>9</xdr:col>
      <xdr:colOff>333375</xdr:colOff>
      <xdr:row>1062</xdr:row>
      <xdr:rowOff>161925</xdr:rowOff>
    </xdr:to>
    <xdr:sp macro="" textlink="">
      <xdr:nvSpPr>
        <xdr:cNvPr id="1046" name="AutoShape 22" descr="Uploaded image">
          <a:extLst>
            <a:ext uri="{FF2B5EF4-FFF2-40B4-BE49-F238E27FC236}">
              <a16:creationId xmlns:a16="http://schemas.microsoft.com/office/drawing/2014/main" id="{A7858BF7-AB3B-BA72-8E80-D390720C462A}"/>
            </a:ext>
          </a:extLst>
        </xdr:cNvPr>
        <xdr:cNvSpPr>
          <a:spLocks noChangeAspect="1" noChangeArrowheads="1"/>
        </xdr:cNvSpPr>
      </xdr:nvSpPr>
      <xdr:spPr bwMode="auto">
        <a:xfrm>
          <a:off x="1038225" y="206635350"/>
          <a:ext cx="91344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1316</xdr:row>
      <xdr:rowOff>0</xdr:rowOff>
    </xdr:from>
    <xdr:to>
      <xdr:col>17</xdr:col>
      <xdr:colOff>161925</xdr:colOff>
      <xdr:row>1352</xdr:row>
      <xdr:rowOff>95250</xdr:rowOff>
    </xdr:to>
    <xdr:sp macro="" textlink="">
      <xdr:nvSpPr>
        <xdr:cNvPr id="1048" name="AutoShape 24" descr="Uploaded image">
          <a:extLst>
            <a:ext uri="{FF2B5EF4-FFF2-40B4-BE49-F238E27FC236}">
              <a16:creationId xmlns:a16="http://schemas.microsoft.com/office/drawing/2014/main" id="{E63692B7-907B-2171-C426-90CF3C94A45F}"/>
            </a:ext>
          </a:extLst>
        </xdr:cNvPr>
        <xdr:cNvSpPr>
          <a:spLocks noChangeAspect="1" noChangeArrowheads="1"/>
        </xdr:cNvSpPr>
      </xdr:nvSpPr>
      <xdr:spPr bwMode="auto">
        <a:xfrm>
          <a:off x="1038225" y="261699375"/>
          <a:ext cx="13839825" cy="695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1393</xdr:row>
      <xdr:rowOff>0</xdr:rowOff>
    </xdr:from>
    <xdr:to>
      <xdr:col>12</xdr:col>
      <xdr:colOff>133350</xdr:colOff>
      <xdr:row>1426</xdr:row>
      <xdr:rowOff>9525</xdr:rowOff>
    </xdr:to>
    <xdr:sp macro="" textlink="">
      <xdr:nvSpPr>
        <xdr:cNvPr id="1049" name="AutoShape 25" descr="Uploaded image">
          <a:extLst>
            <a:ext uri="{FF2B5EF4-FFF2-40B4-BE49-F238E27FC236}">
              <a16:creationId xmlns:a16="http://schemas.microsoft.com/office/drawing/2014/main" id="{AB34708C-DA8A-9735-B6AD-061F0BA1E3AC}"/>
            </a:ext>
          </a:extLst>
        </xdr:cNvPr>
        <xdr:cNvSpPr>
          <a:spLocks noChangeAspect="1" noChangeArrowheads="1"/>
        </xdr:cNvSpPr>
      </xdr:nvSpPr>
      <xdr:spPr bwMode="auto">
        <a:xfrm>
          <a:off x="1038225" y="276367875"/>
          <a:ext cx="10763250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1468</xdr:row>
      <xdr:rowOff>0</xdr:rowOff>
    </xdr:from>
    <xdr:to>
      <xdr:col>19</xdr:col>
      <xdr:colOff>19050</xdr:colOff>
      <xdr:row>1503</xdr:row>
      <xdr:rowOff>38100</xdr:rowOff>
    </xdr:to>
    <xdr:sp macro="" textlink="">
      <xdr:nvSpPr>
        <xdr:cNvPr id="1050" name="AutoShape 26" descr="Uploaded image">
          <a:extLst>
            <a:ext uri="{FF2B5EF4-FFF2-40B4-BE49-F238E27FC236}">
              <a16:creationId xmlns:a16="http://schemas.microsoft.com/office/drawing/2014/main" id="{0D7A25EB-E8D7-4877-06CE-F68DD927ADA4}"/>
            </a:ext>
          </a:extLst>
        </xdr:cNvPr>
        <xdr:cNvSpPr>
          <a:spLocks noChangeAspect="1" noChangeArrowheads="1"/>
        </xdr:cNvSpPr>
      </xdr:nvSpPr>
      <xdr:spPr bwMode="auto">
        <a:xfrm>
          <a:off x="1038225" y="290655375"/>
          <a:ext cx="14916150" cy="670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1537</xdr:row>
      <xdr:rowOff>0</xdr:rowOff>
    </xdr:from>
    <xdr:to>
      <xdr:col>23</xdr:col>
      <xdr:colOff>514350</xdr:colOff>
      <xdr:row>1566</xdr:row>
      <xdr:rowOff>161925</xdr:rowOff>
    </xdr:to>
    <xdr:sp macro="" textlink="">
      <xdr:nvSpPr>
        <xdr:cNvPr id="1051" name="AutoShape 27" descr="Uploaded image">
          <a:extLst>
            <a:ext uri="{FF2B5EF4-FFF2-40B4-BE49-F238E27FC236}">
              <a16:creationId xmlns:a16="http://schemas.microsoft.com/office/drawing/2014/main" id="{03658E81-B613-F388-ACA1-5CCFF8161111}"/>
            </a:ext>
          </a:extLst>
        </xdr:cNvPr>
        <xdr:cNvSpPr>
          <a:spLocks noChangeAspect="1" noChangeArrowheads="1"/>
        </xdr:cNvSpPr>
      </xdr:nvSpPr>
      <xdr:spPr bwMode="auto">
        <a:xfrm>
          <a:off x="1038225" y="304180875"/>
          <a:ext cx="17849850" cy="568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1612</xdr:row>
      <xdr:rowOff>0</xdr:rowOff>
    </xdr:from>
    <xdr:to>
      <xdr:col>6</xdr:col>
      <xdr:colOff>276225</xdr:colOff>
      <xdr:row>1644</xdr:row>
      <xdr:rowOff>114300</xdr:rowOff>
    </xdr:to>
    <xdr:sp macro="" textlink="">
      <xdr:nvSpPr>
        <xdr:cNvPr id="1052" name="AutoShape 28" descr="Uploaded image">
          <a:extLst>
            <a:ext uri="{FF2B5EF4-FFF2-40B4-BE49-F238E27FC236}">
              <a16:creationId xmlns:a16="http://schemas.microsoft.com/office/drawing/2014/main" id="{64BB41D0-CE6C-CF9D-A644-A8FCD5A1A732}"/>
            </a:ext>
          </a:extLst>
        </xdr:cNvPr>
        <xdr:cNvSpPr>
          <a:spLocks noChangeAspect="1" noChangeArrowheads="1"/>
        </xdr:cNvSpPr>
      </xdr:nvSpPr>
      <xdr:spPr bwMode="auto">
        <a:xfrm>
          <a:off x="1038225" y="318468375"/>
          <a:ext cx="7248525" cy="621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1721</xdr:row>
      <xdr:rowOff>0</xdr:rowOff>
    </xdr:from>
    <xdr:to>
      <xdr:col>10</xdr:col>
      <xdr:colOff>333375</xdr:colOff>
      <xdr:row>1754</xdr:row>
      <xdr:rowOff>152400</xdr:rowOff>
    </xdr:to>
    <xdr:sp macro="" textlink="">
      <xdr:nvSpPr>
        <xdr:cNvPr id="1053" name="AutoShape 29" descr="Uploaded image">
          <a:extLst>
            <a:ext uri="{FF2B5EF4-FFF2-40B4-BE49-F238E27FC236}">
              <a16:creationId xmlns:a16="http://schemas.microsoft.com/office/drawing/2014/main" id="{1DC1BFE4-D29F-603C-84B6-BA9A6523EA93}"/>
            </a:ext>
          </a:extLst>
        </xdr:cNvPr>
        <xdr:cNvSpPr>
          <a:spLocks noChangeAspect="1" noChangeArrowheads="1"/>
        </xdr:cNvSpPr>
      </xdr:nvSpPr>
      <xdr:spPr bwMode="auto">
        <a:xfrm>
          <a:off x="1038225" y="339442425"/>
          <a:ext cx="9744075" cy="643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2005</xdr:row>
      <xdr:rowOff>0</xdr:rowOff>
    </xdr:from>
    <xdr:to>
      <xdr:col>13</xdr:col>
      <xdr:colOff>123825</xdr:colOff>
      <xdr:row>2048</xdr:row>
      <xdr:rowOff>38100</xdr:rowOff>
    </xdr:to>
    <xdr:sp macro="" textlink="">
      <xdr:nvSpPr>
        <xdr:cNvPr id="1055" name="AutoShape 31" descr="Uploaded image">
          <a:extLst>
            <a:ext uri="{FF2B5EF4-FFF2-40B4-BE49-F238E27FC236}">
              <a16:creationId xmlns:a16="http://schemas.microsoft.com/office/drawing/2014/main" id="{2A3343BA-E34D-D446-CBA9-F1E48A490DF8}"/>
            </a:ext>
          </a:extLst>
        </xdr:cNvPr>
        <xdr:cNvSpPr>
          <a:spLocks noChangeAspect="1" noChangeArrowheads="1"/>
        </xdr:cNvSpPr>
      </xdr:nvSpPr>
      <xdr:spPr bwMode="auto">
        <a:xfrm>
          <a:off x="1038225" y="396354300"/>
          <a:ext cx="11363325" cy="822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2133</xdr:row>
      <xdr:rowOff>0</xdr:rowOff>
    </xdr:from>
    <xdr:to>
      <xdr:col>9</xdr:col>
      <xdr:colOff>190500</xdr:colOff>
      <xdr:row>2166</xdr:row>
      <xdr:rowOff>38100</xdr:rowOff>
    </xdr:to>
    <xdr:sp macro="" textlink="">
      <xdr:nvSpPr>
        <xdr:cNvPr id="1056" name="AutoShape 32" descr="Uploaded image">
          <a:extLst>
            <a:ext uri="{FF2B5EF4-FFF2-40B4-BE49-F238E27FC236}">
              <a16:creationId xmlns:a16="http://schemas.microsoft.com/office/drawing/2014/main" id="{BE060FA5-8E90-F954-C60F-1A50F8605FBE}"/>
            </a:ext>
          </a:extLst>
        </xdr:cNvPr>
        <xdr:cNvSpPr>
          <a:spLocks noChangeAspect="1" noChangeArrowheads="1"/>
        </xdr:cNvSpPr>
      </xdr:nvSpPr>
      <xdr:spPr bwMode="auto">
        <a:xfrm>
          <a:off x="1038225" y="422100375"/>
          <a:ext cx="8991600" cy="632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2214</xdr:row>
      <xdr:rowOff>0</xdr:rowOff>
    </xdr:from>
    <xdr:to>
      <xdr:col>9</xdr:col>
      <xdr:colOff>314325</xdr:colOff>
      <xdr:row>2240</xdr:row>
      <xdr:rowOff>152400</xdr:rowOff>
    </xdr:to>
    <xdr:sp macro="" textlink="">
      <xdr:nvSpPr>
        <xdr:cNvPr id="1057" name="AutoShape 33" descr="Uploaded image">
          <a:extLst>
            <a:ext uri="{FF2B5EF4-FFF2-40B4-BE49-F238E27FC236}">
              <a16:creationId xmlns:a16="http://schemas.microsoft.com/office/drawing/2014/main" id="{1BAAE52A-86D6-ED29-1B18-364C731EECD3}"/>
            </a:ext>
          </a:extLst>
        </xdr:cNvPr>
        <xdr:cNvSpPr>
          <a:spLocks noChangeAspect="1" noChangeArrowheads="1"/>
        </xdr:cNvSpPr>
      </xdr:nvSpPr>
      <xdr:spPr bwMode="auto">
        <a:xfrm>
          <a:off x="1038225" y="437740425"/>
          <a:ext cx="9115425" cy="510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2313</xdr:row>
      <xdr:rowOff>0</xdr:rowOff>
    </xdr:from>
    <xdr:to>
      <xdr:col>8</xdr:col>
      <xdr:colOff>571500</xdr:colOff>
      <xdr:row>2352</xdr:row>
      <xdr:rowOff>152400</xdr:rowOff>
    </xdr:to>
    <xdr:sp macro="" textlink="">
      <xdr:nvSpPr>
        <xdr:cNvPr id="1058" name="AutoShape 34" descr="Uploaded image">
          <a:extLst>
            <a:ext uri="{FF2B5EF4-FFF2-40B4-BE49-F238E27FC236}">
              <a16:creationId xmlns:a16="http://schemas.microsoft.com/office/drawing/2014/main" id="{19697A15-8BA5-A91A-DBD0-2E22982A249E}"/>
            </a:ext>
          </a:extLst>
        </xdr:cNvPr>
        <xdr:cNvSpPr>
          <a:spLocks noChangeAspect="1" noChangeArrowheads="1"/>
        </xdr:cNvSpPr>
      </xdr:nvSpPr>
      <xdr:spPr bwMode="auto">
        <a:xfrm>
          <a:off x="1038225" y="457438125"/>
          <a:ext cx="8763000" cy="758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2418</xdr:row>
      <xdr:rowOff>0</xdr:rowOff>
    </xdr:from>
    <xdr:to>
      <xdr:col>8</xdr:col>
      <xdr:colOff>219075</xdr:colOff>
      <xdr:row>2453</xdr:row>
      <xdr:rowOff>57150</xdr:rowOff>
    </xdr:to>
    <xdr:sp macro="" textlink="">
      <xdr:nvSpPr>
        <xdr:cNvPr id="1059" name="AutoShape 35" descr="Uploaded image">
          <a:extLst>
            <a:ext uri="{FF2B5EF4-FFF2-40B4-BE49-F238E27FC236}">
              <a16:creationId xmlns:a16="http://schemas.microsoft.com/office/drawing/2014/main" id="{D3C65F5C-EC7D-AF3D-4461-EC7597241B45}"/>
            </a:ext>
          </a:extLst>
        </xdr:cNvPr>
        <xdr:cNvSpPr>
          <a:spLocks noChangeAspect="1" noChangeArrowheads="1"/>
        </xdr:cNvSpPr>
      </xdr:nvSpPr>
      <xdr:spPr bwMode="auto">
        <a:xfrm>
          <a:off x="1038225" y="478488375"/>
          <a:ext cx="8410575" cy="672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2534</xdr:row>
      <xdr:rowOff>0</xdr:rowOff>
    </xdr:from>
    <xdr:to>
      <xdr:col>8</xdr:col>
      <xdr:colOff>590550</xdr:colOff>
      <xdr:row>2566</xdr:row>
      <xdr:rowOff>133350</xdr:rowOff>
    </xdr:to>
    <xdr:sp macro="" textlink="">
      <xdr:nvSpPr>
        <xdr:cNvPr id="1060" name="AutoShape 36" descr="Uploaded image">
          <a:extLst>
            <a:ext uri="{FF2B5EF4-FFF2-40B4-BE49-F238E27FC236}">
              <a16:creationId xmlns:a16="http://schemas.microsoft.com/office/drawing/2014/main" id="{7B65FBC3-AAB0-26FE-0A0D-CFA1786CACF8}"/>
            </a:ext>
          </a:extLst>
        </xdr:cNvPr>
        <xdr:cNvSpPr>
          <a:spLocks noChangeAspect="1" noChangeArrowheads="1"/>
        </xdr:cNvSpPr>
      </xdr:nvSpPr>
      <xdr:spPr bwMode="auto">
        <a:xfrm>
          <a:off x="1038225" y="501634125"/>
          <a:ext cx="8782050" cy="622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2636</xdr:row>
      <xdr:rowOff>0</xdr:rowOff>
    </xdr:from>
    <xdr:to>
      <xdr:col>9</xdr:col>
      <xdr:colOff>133350</xdr:colOff>
      <xdr:row>2675</xdr:row>
      <xdr:rowOff>28575</xdr:rowOff>
    </xdr:to>
    <xdr:sp macro="" textlink="">
      <xdr:nvSpPr>
        <xdr:cNvPr id="1061" name="AutoShape 37" descr="Uploaded image">
          <a:extLst>
            <a:ext uri="{FF2B5EF4-FFF2-40B4-BE49-F238E27FC236}">
              <a16:creationId xmlns:a16="http://schemas.microsoft.com/office/drawing/2014/main" id="{8DBE6C1C-A5D3-A427-C3ED-5CCE594CE572}"/>
            </a:ext>
          </a:extLst>
        </xdr:cNvPr>
        <xdr:cNvSpPr>
          <a:spLocks noChangeAspect="1" noChangeArrowheads="1"/>
        </xdr:cNvSpPr>
      </xdr:nvSpPr>
      <xdr:spPr bwMode="auto">
        <a:xfrm>
          <a:off x="1038225" y="522322425"/>
          <a:ext cx="8934450" cy="7458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2753</xdr:row>
      <xdr:rowOff>0</xdr:rowOff>
    </xdr:from>
    <xdr:to>
      <xdr:col>3</xdr:col>
      <xdr:colOff>1133475</xdr:colOff>
      <xdr:row>2795</xdr:row>
      <xdr:rowOff>28575</xdr:rowOff>
    </xdr:to>
    <xdr:sp macro="" textlink="">
      <xdr:nvSpPr>
        <xdr:cNvPr id="1062" name="AutoShape 38" descr="Uploaded image">
          <a:extLst>
            <a:ext uri="{FF2B5EF4-FFF2-40B4-BE49-F238E27FC236}">
              <a16:creationId xmlns:a16="http://schemas.microsoft.com/office/drawing/2014/main" id="{FD30A07A-F9D4-BBAF-D769-14469395666E}"/>
            </a:ext>
          </a:extLst>
        </xdr:cNvPr>
        <xdr:cNvSpPr>
          <a:spLocks noChangeAspect="1" noChangeArrowheads="1"/>
        </xdr:cNvSpPr>
      </xdr:nvSpPr>
      <xdr:spPr bwMode="auto">
        <a:xfrm>
          <a:off x="1038225" y="546077775"/>
          <a:ext cx="3171825" cy="802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2969</xdr:row>
      <xdr:rowOff>0</xdr:rowOff>
    </xdr:from>
    <xdr:to>
      <xdr:col>18</xdr:col>
      <xdr:colOff>504825</xdr:colOff>
      <xdr:row>3007</xdr:row>
      <xdr:rowOff>47625</xdr:rowOff>
    </xdr:to>
    <xdr:sp macro="" textlink="">
      <xdr:nvSpPr>
        <xdr:cNvPr id="1064" name="AutoShape 40" descr="Uploaded image">
          <a:extLst>
            <a:ext uri="{FF2B5EF4-FFF2-40B4-BE49-F238E27FC236}">
              <a16:creationId xmlns:a16="http://schemas.microsoft.com/office/drawing/2014/main" id="{BD71D969-D71F-9D0E-68D3-9B5AB0855421}"/>
            </a:ext>
          </a:extLst>
        </xdr:cNvPr>
        <xdr:cNvSpPr>
          <a:spLocks noChangeAspect="1" noChangeArrowheads="1"/>
        </xdr:cNvSpPr>
      </xdr:nvSpPr>
      <xdr:spPr bwMode="auto">
        <a:xfrm>
          <a:off x="1038225" y="590264250"/>
          <a:ext cx="14792325" cy="728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3372</xdr:row>
      <xdr:rowOff>0</xdr:rowOff>
    </xdr:from>
    <xdr:to>
      <xdr:col>5</xdr:col>
      <xdr:colOff>266700</xdr:colOff>
      <xdr:row>3408</xdr:row>
      <xdr:rowOff>76200</xdr:rowOff>
    </xdr:to>
    <xdr:sp macro="" textlink="">
      <xdr:nvSpPr>
        <xdr:cNvPr id="1074" name="AutoShape 50" descr="Uploaded image">
          <a:extLst>
            <a:ext uri="{FF2B5EF4-FFF2-40B4-BE49-F238E27FC236}">
              <a16:creationId xmlns:a16="http://schemas.microsoft.com/office/drawing/2014/main" id="{7FF575B7-D667-C532-AD63-E981CD2CF58F}"/>
            </a:ext>
          </a:extLst>
        </xdr:cNvPr>
        <xdr:cNvSpPr>
          <a:spLocks noChangeAspect="1" noChangeArrowheads="1"/>
        </xdr:cNvSpPr>
      </xdr:nvSpPr>
      <xdr:spPr bwMode="auto">
        <a:xfrm>
          <a:off x="1038225" y="672988875"/>
          <a:ext cx="6629400" cy="693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3544</xdr:row>
      <xdr:rowOff>0</xdr:rowOff>
    </xdr:from>
    <xdr:to>
      <xdr:col>5</xdr:col>
      <xdr:colOff>180975</xdr:colOff>
      <xdr:row>3581</xdr:row>
      <xdr:rowOff>114300</xdr:rowOff>
    </xdr:to>
    <xdr:sp macro="" textlink="">
      <xdr:nvSpPr>
        <xdr:cNvPr id="1077" name="AutoShape 53" descr="Uploaded image">
          <a:extLst>
            <a:ext uri="{FF2B5EF4-FFF2-40B4-BE49-F238E27FC236}">
              <a16:creationId xmlns:a16="http://schemas.microsoft.com/office/drawing/2014/main" id="{39F996C6-FB79-15D0-DD51-3E428A0290AF}"/>
            </a:ext>
          </a:extLst>
        </xdr:cNvPr>
        <xdr:cNvSpPr>
          <a:spLocks noChangeAspect="1" noChangeArrowheads="1"/>
        </xdr:cNvSpPr>
      </xdr:nvSpPr>
      <xdr:spPr bwMode="auto">
        <a:xfrm>
          <a:off x="1038225" y="708059925"/>
          <a:ext cx="6543675" cy="716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4043</xdr:row>
      <xdr:rowOff>0</xdr:rowOff>
    </xdr:from>
    <xdr:to>
      <xdr:col>6</xdr:col>
      <xdr:colOff>95250</xdr:colOff>
      <xdr:row>4069</xdr:row>
      <xdr:rowOff>28575</xdr:rowOff>
    </xdr:to>
    <xdr:sp macro="" textlink="">
      <xdr:nvSpPr>
        <xdr:cNvPr id="1082" name="AutoShape 58" descr="Uploaded image">
          <a:extLst>
            <a:ext uri="{FF2B5EF4-FFF2-40B4-BE49-F238E27FC236}">
              <a16:creationId xmlns:a16="http://schemas.microsoft.com/office/drawing/2014/main" id="{CA67F0D5-46BE-1752-27A3-BC72D2FF8DD8}"/>
            </a:ext>
          </a:extLst>
        </xdr:cNvPr>
        <xdr:cNvSpPr>
          <a:spLocks noChangeAspect="1" noChangeArrowheads="1"/>
        </xdr:cNvSpPr>
      </xdr:nvSpPr>
      <xdr:spPr bwMode="auto">
        <a:xfrm>
          <a:off x="1038225" y="809548800"/>
          <a:ext cx="7067550" cy="498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4286</xdr:row>
      <xdr:rowOff>0</xdr:rowOff>
    </xdr:from>
    <xdr:to>
      <xdr:col>7</xdr:col>
      <xdr:colOff>323850</xdr:colOff>
      <xdr:row>4317</xdr:row>
      <xdr:rowOff>85725</xdr:rowOff>
    </xdr:to>
    <xdr:sp macro="" textlink="">
      <xdr:nvSpPr>
        <xdr:cNvPr id="1084" name="AutoShape 60" descr="Uploaded image">
          <a:extLst>
            <a:ext uri="{FF2B5EF4-FFF2-40B4-BE49-F238E27FC236}">
              <a16:creationId xmlns:a16="http://schemas.microsoft.com/office/drawing/2014/main" id="{EB9AD04F-1730-2611-7266-69AF6B4B73EE}"/>
            </a:ext>
          </a:extLst>
        </xdr:cNvPr>
        <xdr:cNvSpPr>
          <a:spLocks noChangeAspect="1" noChangeArrowheads="1"/>
        </xdr:cNvSpPr>
      </xdr:nvSpPr>
      <xdr:spPr bwMode="auto">
        <a:xfrm>
          <a:off x="1038225" y="858459675"/>
          <a:ext cx="7905750" cy="599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4340"/>
  <sheetViews>
    <sheetView tabSelected="1" zoomScale="85" zoomScaleNormal="85" workbookViewId="0">
      <selection activeCell="C21" sqref="C21"/>
    </sheetView>
  </sheetViews>
  <sheetFormatPr defaultRowHeight="15"/>
  <cols>
    <col min="1" max="1" width="15.5703125" customWidth="1"/>
    <col min="2" max="2" width="15.85546875" customWidth="1"/>
    <col min="3" max="3" width="14.7109375" customWidth="1"/>
    <col min="4" max="4" width="32.42578125" bestFit="1" customWidth="1"/>
    <col min="5" max="5" width="32.42578125" customWidth="1"/>
  </cols>
  <sheetData>
    <row r="1" spans="1:6">
      <c r="A1" s="1" t="s">
        <v>0</v>
      </c>
      <c r="B1" s="1" t="s">
        <v>2</v>
      </c>
      <c r="C1" s="1" t="s">
        <v>3</v>
      </c>
      <c r="D1" s="1" t="s">
        <v>1</v>
      </c>
      <c r="E1" s="2" t="s">
        <v>6</v>
      </c>
      <c r="F1" t="s">
        <v>7</v>
      </c>
    </row>
    <row r="2" spans="1:6">
      <c r="A2" s="1">
        <v>91</v>
      </c>
      <c r="B2" s="1">
        <v>998</v>
      </c>
      <c r="C2" s="1">
        <v>4</v>
      </c>
      <c r="D2" s="1">
        <v>89.8</v>
      </c>
      <c r="E2">
        <f>A2*C$13+B2*C$12+C2*C$11+C$14</f>
        <v>88.770599892675023</v>
      </c>
      <c r="F2">
        <f>POWER(D2-E2,2)</f>
        <v>1.0596645809606691</v>
      </c>
    </row>
    <row r="3" spans="1:6">
      <c r="A3" s="1">
        <v>87</v>
      </c>
      <c r="B3" s="1">
        <v>1256</v>
      </c>
      <c r="C3" s="1">
        <v>7</v>
      </c>
      <c r="D3" s="1">
        <v>90.2</v>
      </c>
      <c r="E3">
        <f t="shared" ref="E3:E9" si="0">A3*C$13+B3*C$12+C3*C$11+C$14</f>
        <v>90.390725606528406</v>
      </c>
      <c r="F3">
        <f t="shared" ref="F3:F9" si="1">POWER(D3-E3,2)</f>
        <v>3.6376256985627235E-2</v>
      </c>
    </row>
    <row r="4" spans="1:6">
      <c r="A4" s="1">
        <v>86</v>
      </c>
      <c r="B4" s="1">
        <v>791</v>
      </c>
      <c r="C4" s="1">
        <v>6</v>
      </c>
      <c r="D4" s="1">
        <v>81.099999999999994</v>
      </c>
      <c r="E4">
        <f t="shared" si="0"/>
        <v>81.08535834704594</v>
      </c>
      <c r="F4">
        <f t="shared" si="1"/>
        <v>2.1437800122697307E-4</v>
      </c>
    </row>
    <row r="5" spans="1:6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83.195592678492687</v>
      </c>
      <c r="F5">
        <f t="shared" si="1"/>
        <v>3.8256495879943765E-2</v>
      </c>
    </row>
    <row r="6" spans="1:6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89.84727235480392</v>
      </c>
      <c r="F6">
        <f t="shared" si="1"/>
        <v>1.1082354949600961</v>
      </c>
    </row>
    <row r="7" spans="1:6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117.19568579748471</v>
      </c>
      <c r="F7">
        <f t="shared" si="1"/>
        <v>3.2555497413983727</v>
      </c>
    </row>
    <row r="8" spans="1:6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97.808960467081249</v>
      </c>
      <c r="F8">
        <f t="shared" si="1"/>
        <v>8.4620509990415265</v>
      </c>
    </row>
    <row r="9" spans="1:6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133.00580485588836</v>
      </c>
      <c r="F9">
        <f t="shared" si="1"/>
        <v>0.36699952341790609</v>
      </c>
    </row>
    <row r="10" spans="1:6">
      <c r="A10" t="s">
        <v>15</v>
      </c>
      <c r="B10" t="s">
        <v>16</v>
      </c>
      <c r="C10" t="s">
        <v>17</v>
      </c>
      <c r="D10" t="s">
        <v>18</v>
      </c>
    </row>
    <row r="11" spans="1:6">
      <c r="A11" t="s">
        <v>3</v>
      </c>
      <c r="B11">
        <v>1</v>
      </c>
      <c r="C11" cm="1">
        <f t="array" ref="C11">INDEX(LINEST(D$2:D$9,A$2:C$9,TRUE,TRUE),1,B11)</f>
        <v>5.9564655285595709</v>
      </c>
      <c r="E11" t="s">
        <v>8</v>
      </c>
      <c r="F11">
        <f>SUM(F2:F9)</f>
        <v>14.327347470645368</v>
      </c>
    </row>
    <row r="12" spans="1:6">
      <c r="A12" t="s">
        <v>2</v>
      </c>
      <c r="B12">
        <v>2</v>
      </c>
      <c r="C12" cm="1">
        <f t="array" ref="C12">INDEX(LINEST(D$2:D$9,A$2:C$9,TRUE,TRUE),1,B12)</f>
        <v>-1.3473389745675504E-3</v>
      </c>
    </row>
    <row r="13" spans="1:6">
      <c r="A13" t="s">
        <v>4</v>
      </c>
      <c r="B13">
        <v>3</v>
      </c>
      <c r="C13" cm="1">
        <f t="array" ref="C13">INDEX(LINEST(D$2:D$9,A$2:C$9,TRUE,TRUE),1,B13)</f>
        <v>3.9754143540967339</v>
      </c>
    </row>
    <row r="14" spans="1:6">
      <c r="A14" t="s">
        <v>5</v>
      </c>
      <c r="B14">
        <v>4</v>
      </c>
      <c r="C14" cm="1">
        <f t="array" ref="C14">INDEX(LINEST(D$2:D$9,A$2:C$9,TRUE,TRUE),1,B14)</f>
        <v>-295.47332414774763</v>
      </c>
    </row>
    <row r="20" spans="1:3" ht="150">
      <c r="A20" s="3" t="s">
        <v>9</v>
      </c>
      <c r="B20" s="19"/>
      <c r="C20" t="s">
        <v>19</v>
      </c>
    </row>
    <row r="23" spans="1:3">
      <c r="B23" s="5"/>
    </row>
    <row r="28" spans="1:3">
      <c r="B28" s="4"/>
    </row>
    <row r="30" spans="1:3">
      <c r="B30" s="5"/>
    </row>
    <row r="31" spans="1:3">
      <c r="B31" s="5"/>
    </row>
    <row r="32" spans="1:3">
      <c r="B32" s="5"/>
    </row>
    <row r="33" spans="2:2">
      <c r="B33" s="5"/>
    </row>
    <row r="37" spans="2:2">
      <c r="B37" s="4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6" spans="2:2">
      <c r="B46" s="5"/>
    </row>
    <row r="47" spans="2:2">
      <c r="B47" s="5"/>
    </row>
    <row r="48" spans="2:2">
      <c r="B48" s="5"/>
    </row>
    <row r="50" spans="2:2">
      <c r="B50" s="4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65" spans="2:2">
      <c r="B65" s="5"/>
    </row>
    <row r="66" spans="2:2">
      <c r="B66" s="6"/>
    </row>
    <row r="67" spans="2:2">
      <c r="B67" s="6"/>
    </row>
    <row r="68" spans="2:2">
      <c r="B68" s="7"/>
    </row>
    <row r="69" spans="2:2">
      <c r="B69" s="7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8" spans="2:2">
      <c r="B78" s="5"/>
    </row>
    <row r="79" spans="2:2">
      <c r="B79" s="5"/>
    </row>
    <row r="80" spans="2:2">
      <c r="B80" s="5"/>
    </row>
    <row r="85" spans="2:2">
      <c r="B85" s="4"/>
    </row>
    <row r="97" spans="2:2">
      <c r="B97" s="5"/>
    </row>
    <row r="98" spans="2:2">
      <c r="B98" s="5"/>
    </row>
    <row r="99" spans="2:2">
      <c r="B99" s="5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5"/>
    </row>
    <row r="105" spans="2:2">
      <c r="B105" s="8"/>
    </row>
    <row r="106" spans="2:2">
      <c r="B106" s="8"/>
    </row>
    <row r="107" spans="2:2">
      <c r="B107" s="8"/>
    </row>
    <row r="108" spans="2:2">
      <c r="B108" s="8"/>
    </row>
    <row r="109" spans="2:2">
      <c r="B109" s="8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36" spans="2:2">
      <c r="B136" s="5"/>
    </row>
    <row r="137" spans="2:2">
      <c r="B137" s="9"/>
    </row>
    <row r="143" spans="2:2" ht="23.25">
      <c r="B143" s="11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6" spans="2:2" ht="23.25">
      <c r="B156" s="11"/>
    </row>
    <row r="160" spans="2:2" ht="18">
      <c r="B160" s="12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70" spans="2:2" ht="18">
      <c r="B170" s="12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81" spans="2:2" ht="18">
      <c r="B181" s="12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91" spans="2:2" ht="18">
      <c r="B191" s="12"/>
    </row>
    <row r="196" spans="2:2">
      <c r="B196" s="10"/>
    </row>
    <row r="197" spans="2:2">
      <c r="B197" s="13"/>
    </row>
    <row r="198" spans="2:2">
      <c r="B198" s="13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8" spans="2:2" ht="18">
      <c r="B208" s="12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6" spans="2:2" ht="18">
      <c r="B216" s="12"/>
    </row>
    <row r="220" spans="2:2">
      <c r="B220" s="4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7"/>
    </row>
    <row r="227" spans="2:2">
      <c r="B227" s="7"/>
    </row>
    <row r="228" spans="2:2">
      <c r="B228" s="5"/>
    </row>
    <row r="229" spans="2:2">
      <c r="B229" s="5"/>
    </row>
    <row r="235" spans="2:2" ht="23.25">
      <c r="B235" s="11"/>
    </row>
    <row r="238" spans="2:2">
      <c r="B238" s="5"/>
    </row>
    <row r="239" spans="2:2">
      <c r="B239" s="6"/>
    </row>
    <row r="240" spans="2:2">
      <c r="B240" s="6"/>
    </row>
    <row r="241" spans="2:2">
      <c r="B241" s="6"/>
    </row>
    <row r="242" spans="2:2">
      <c r="B242" s="6"/>
    </row>
    <row r="243" spans="2:2">
      <c r="B243" s="6"/>
    </row>
    <row r="244" spans="2:2">
      <c r="B244" s="6"/>
    </row>
    <row r="248" spans="2:2" ht="23.25">
      <c r="B248" s="11"/>
    </row>
    <row r="252" spans="2:2">
      <c r="B252" s="5"/>
    </row>
    <row r="253" spans="2:2">
      <c r="B253" s="5"/>
    </row>
    <row r="259" spans="2:2" ht="23.25">
      <c r="B259" s="11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83" spans="2:2" ht="23.25">
      <c r="B283" s="11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2" spans="2:2" ht="18">
      <c r="B292" s="12"/>
    </row>
    <row r="295" spans="2:2">
      <c r="B295" s="5"/>
    </row>
    <row r="296" spans="2:2">
      <c r="B296" s="5"/>
    </row>
    <row r="297" spans="2:2">
      <c r="B297" s="5"/>
    </row>
    <row r="301" spans="2:2" ht="18">
      <c r="B301" s="12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13" spans="2:2" ht="18">
      <c r="B313" s="12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5" spans="2:2" ht="18">
      <c r="B325" s="12"/>
    </row>
    <row r="328" spans="2:2">
      <c r="B328" s="5"/>
    </row>
    <row r="329" spans="2:2">
      <c r="B329" s="5"/>
    </row>
    <row r="330" spans="2:2">
      <c r="B330" s="5"/>
    </row>
    <row r="336" spans="2:2" ht="18">
      <c r="B336" s="12"/>
    </row>
    <row r="339" spans="2:2">
      <c r="B339" s="5"/>
    </row>
    <row r="340" spans="2:2">
      <c r="B340" s="5"/>
    </row>
    <row r="341" spans="2:2">
      <c r="B341" s="5"/>
    </row>
    <row r="347" spans="2:2" ht="18">
      <c r="B347" s="12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9" spans="2:2" ht="23.25">
      <c r="B359" s="11"/>
    </row>
    <row r="367" spans="2:2" ht="23.25">
      <c r="B367" s="11"/>
    </row>
    <row r="369" spans="2:3">
      <c r="B369" s="14"/>
      <c r="C369" s="14"/>
    </row>
    <row r="370" spans="2:3">
      <c r="B370" s="15"/>
      <c r="C370" s="16"/>
    </row>
    <row r="371" spans="2:3">
      <c r="B371" s="15"/>
      <c r="C371" s="16"/>
    </row>
    <row r="372" spans="2:3">
      <c r="B372" s="15"/>
      <c r="C372" s="16"/>
    </row>
    <row r="375" spans="2:3" ht="23.25">
      <c r="B375" s="11"/>
    </row>
    <row r="376" spans="2:3">
      <c r="B376" s="5"/>
    </row>
    <row r="377" spans="2:3">
      <c r="B377" s="5"/>
    </row>
    <row r="378" spans="2:3">
      <c r="B378" s="5"/>
    </row>
    <row r="379" spans="2:3">
      <c r="B379" s="5"/>
    </row>
    <row r="385" spans="2:2" ht="23.25">
      <c r="B385" s="11"/>
    </row>
    <row r="388" spans="2:2">
      <c r="B388" s="5"/>
    </row>
    <row r="389" spans="2:2">
      <c r="B389" s="5"/>
    </row>
    <row r="390" spans="2:2">
      <c r="B390" s="5"/>
    </row>
    <row r="393" spans="2:2">
      <c r="B393" s="5"/>
    </row>
    <row r="394" spans="2:2">
      <c r="B394" s="5"/>
    </row>
    <row r="398" spans="2:2" ht="23.25">
      <c r="B398" s="11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25" spans="2:2" ht="23.25">
      <c r="B425" s="11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8" spans="2:3" ht="23.25">
      <c r="B438" s="11"/>
    </row>
    <row r="440" spans="2:3">
      <c r="B440" s="14"/>
      <c r="C440" s="14"/>
    </row>
    <row r="441" spans="2:3">
      <c r="B441" s="15"/>
      <c r="C441" s="15"/>
    </row>
    <row r="442" spans="2:3">
      <c r="B442" s="15"/>
      <c r="C442" s="15"/>
    </row>
    <row r="443" spans="2:3">
      <c r="B443" s="15"/>
      <c r="C443" s="15"/>
    </row>
    <row r="451" spans="2:2" ht="23.25">
      <c r="B451" s="11"/>
    </row>
    <row r="453" spans="2:2" ht="18">
      <c r="B453" s="12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61" spans="2:2" ht="18">
      <c r="B461" s="12"/>
    </row>
    <row r="463" spans="2:2" ht="15.75">
      <c r="B463" s="17"/>
    </row>
    <row r="466" spans="2:2">
      <c r="B466" s="5"/>
    </row>
    <row r="467" spans="2:2">
      <c r="B467" s="5"/>
    </row>
    <row r="468" spans="2:2">
      <c r="B468" s="5"/>
    </row>
    <row r="471" spans="2:2">
      <c r="B471" s="5"/>
    </row>
    <row r="472" spans="2:2">
      <c r="B472" s="5"/>
    </row>
    <row r="473" spans="2:2">
      <c r="B473" s="5"/>
    </row>
    <row r="477" spans="2:2" ht="15.75">
      <c r="B477" s="17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7" spans="2:2" ht="15.75">
      <c r="B487" s="17"/>
    </row>
    <row r="492" spans="2:2">
      <c r="B492" s="5"/>
    </row>
    <row r="493" spans="2:2">
      <c r="B493" s="5"/>
    </row>
    <row r="494" spans="2:2">
      <c r="B494" s="5"/>
    </row>
    <row r="497" spans="2:2">
      <c r="B497" s="10"/>
    </row>
    <row r="498" spans="2:2">
      <c r="B498" s="13"/>
    </row>
    <row r="499" spans="2:2">
      <c r="B499" s="13"/>
    </row>
    <row r="500" spans="2:2">
      <c r="B500" s="13"/>
    </row>
    <row r="506" spans="2:2" ht="15.75">
      <c r="B506" s="17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23" spans="2:2" ht="23.25">
      <c r="B523" s="11"/>
    </row>
    <row r="524" spans="2:2">
      <c r="B524" s="5"/>
    </row>
    <row r="525" spans="2:2">
      <c r="B525" s="5"/>
    </row>
    <row r="533" spans="2:2" ht="23.25">
      <c r="B533" s="11"/>
    </row>
    <row r="537" spans="2:2">
      <c r="B537" s="4"/>
    </row>
    <row r="538" spans="2:2">
      <c r="B538" s="5"/>
    </row>
    <row r="539" spans="2:2">
      <c r="B539" s="5"/>
    </row>
    <row r="541" spans="2:2">
      <c r="B541" s="4"/>
    </row>
    <row r="542" spans="2:2">
      <c r="B542" s="5"/>
    </row>
    <row r="543" spans="2:2">
      <c r="B543" s="5"/>
    </row>
    <row r="545" spans="2:2">
      <c r="B545" s="4"/>
    </row>
    <row r="546" spans="2:2">
      <c r="B546" s="5"/>
    </row>
    <row r="547" spans="2:2">
      <c r="B547" s="5"/>
    </row>
    <row r="553" spans="2:2" ht="23.25">
      <c r="B553" s="11"/>
    </row>
    <row r="565" spans="2:2" ht="23.25">
      <c r="B565" s="11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86" spans="2:2">
      <c r="B586" s="5"/>
    </row>
    <row r="587" spans="2:2">
      <c r="B587" s="5"/>
    </row>
    <row r="591" spans="2:2" ht="23.25">
      <c r="B591" s="11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601" spans="2:2">
      <c r="B601" s="5"/>
    </row>
    <row r="602" spans="2:2">
      <c r="B602" s="6"/>
    </row>
    <row r="606" spans="2:2" ht="23.25">
      <c r="B606" s="11"/>
    </row>
    <row r="611" spans="2:2">
      <c r="B611" s="5"/>
    </row>
    <row r="612" spans="2:2">
      <c r="B612" s="5"/>
    </row>
    <row r="618" spans="2:2" ht="23.25">
      <c r="B618" s="11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9" spans="2:2" ht="23.25">
      <c r="B629" s="11"/>
    </row>
    <row r="646" spans="2:2">
      <c r="B646" s="4"/>
    </row>
    <row r="652" spans="2:2" ht="23.25">
      <c r="B652" s="11"/>
    </row>
    <row r="659" spans="2:2">
      <c r="B659" s="5"/>
    </row>
    <row r="660" spans="2:2">
      <c r="B660" s="5"/>
    </row>
    <row r="661" spans="2:2">
      <c r="B661" s="5"/>
    </row>
    <row r="662" spans="2:2">
      <c r="B662" s="5"/>
    </row>
    <row r="663" spans="2:2">
      <c r="B663" s="5"/>
    </row>
    <row r="666" spans="2:2">
      <c r="B666" s="5"/>
    </row>
    <row r="667" spans="2:2">
      <c r="B667" s="5"/>
    </row>
    <row r="671" spans="2:2" ht="23.25">
      <c r="B671" s="11"/>
    </row>
    <row r="672" spans="2:2">
      <c r="B672" s="5"/>
    </row>
    <row r="673" spans="2:2">
      <c r="B673" s="5"/>
    </row>
    <row r="674" spans="2:2">
      <c r="B674" s="18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82" spans="2:2" ht="23.25">
      <c r="B682" s="11"/>
    </row>
    <row r="686" spans="2:2" ht="18">
      <c r="B686" s="12"/>
    </row>
    <row r="687" spans="2:2">
      <c r="B687" s="5"/>
    </row>
    <row r="688" spans="2:2">
      <c r="B688" s="5"/>
    </row>
    <row r="689" spans="2:2">
      <c r="B689" s="5"/>
    </row>
    <row r="690" spans="2:2">
      <c r="B690" s="5"/>
    </row>
    <row r="695" spans="2:2">
      <c r="B695" s="5"/>
    </row>
    <row r="696" spans="2:2">
      <c r="B696" s="5"/>
    </row>
    <row r="697" spans="2:2">
      <c r="B697" s="5"/>
    </row>
    <row r="701" spans="2:2" ht="18">
      <c r="B701" s="12"/>
    </row>
    <row r="704" spans="2:2">
      <c r="B704" s="5"/>
    </row>
    <row r="705" spans="2:2">
      <c r="B705" s="5"/>
    </row>
    <row r="706" spans="2:2">
      <c r="B706" s="5"/>
    </row>
    <row r="710" spans="2:2" ht="23.25">
      <c r="B710" s="11"/>
    </row>
    <row r="711" spans="2:2">
      <c r="B711" s="5"/>
    </row>
    <row r="712" spans="2:2">
      <c r="B712" s="5"/>
    </row>
    <row r="713" spans="2:2">
      <c r="B713" s="5"/>
    </row>
    <row r="714" spans="2:2">
      <c r="B714" s="5"/>
    </row>
    <row r="721" spans="2:2">
      <c r="B721" s="5"/>
    </row>
    <row r="722" spans="2:2">
      <c r="B722" s="5"/>
    </row>
    <row r="723" spans="2:2">
      <c r="B723" s="5"/>
    </row>
    <row r="724" spans="2:2">
      <c r="B724" s="5"/>
    </row>
    <row r="728" spans="2:2" ht="23.25">
      <c r="B728" s="11"/>
    </row>
    <row r="731" spans="2:2">
      <c r="B731" s="5"/>
    </row>
    <row r="732" spans="2:2">
      <c r="B732" s="5"/>
    </row>
    <row r="733" spans="2:2">
      <c r="B733" s="5"/>
    </row>
    <row r="741" spans="2:2" ht="23.25">
      <c r="B741" s="11"/>
    </row>
    <row r="744" spans="2:2">
      <c r="B744" s="5"/>
    </row>
    <row r="745" spans="2:2">
      <c r="B745" s="5"/>
    </row>
    <row r="746" spans="2:2">
      <c r="B746" s="5"/>
    </row>
    <row r="747" spans="2:2">
      <c r="B747" s="5"/>
    </row>
    <row r="758" spans="2:2">
      <c r="B758" s="4"/>
    </row>
    <row r="771" spans="2:2" ht="23.25">
      <c r="B771" s="11"/>
    </row>
    <row r="773" spans="2:2" ht="18">
      <c r="B773" s="12"/>
    </row>
    <row r="774" spans="2:2">
      <c r="B774" s="5"/>
    </row>
    <row r="775" spans="2:2">
      <c r="B775" s="5"/>
    </row>
    <row r="776" spans="2:2">
      <c r="B776" s="5"/>
    </row>
    <row r="777" spans="2:2">
      <c r="B777" s="5"/>
    </row>
    <row r="783" spans="2:2" ht="18">
      <c r="B783" s="12"/>
    </row>
    <row r="785" spans="2:2" ht="15.75">
      <c r="B785" s="17"/>
    </row>
    <row r="788" spans="2:2">
      <c r="B788" s="5"/>
    </row>
    <row r="789" spans="2:2">
      <c r="B789" s="9"/>
    </row>
    <row r="790" spans="2:2">
      <c r="B790" s="9"/>
    </row>
    <row r="791" spans="2:2">
      <c r="B791" s="9"/>
    </row>
    <row r="794" spans="2:2">
      <c r="B794" s="5"/>
    </row>
    <row r="795" spans="2:2">
      <c r="B795" s="5"/>
    </row>
    <row r="796" spans="2:2">
      <c r="B796" s="5"/>
    </row>
    <row r="797" spans="2:2">
      <c r="B797" s="5"/>
    </row>
    <row r="800" spans="2:2">
      <c r="B800" s="5"/>
    </row>
    <row r="801" spans="2:2">
      <c r="B801" s="5"/>
    </row>
    <row r="807" spans="2:2" ht="15.75">
      <c r="B807" s="17"/>
    </row>
    <row r="810" spans="2:2">
      <c r="B810" s="5"/>
    </row>
    <row r="811" spans="2:2">
      <c r="B811" s="5"/>
    </row>
    <row r="812" spans="2:2">
      <c r="B812" s="5"/>
    </row>
    <row r="817" spans="2:2">
      <c r="B817" s="5"/>
    </row>
    <row r="818" spans="2:2">
      <c r="B818" s="5"/>
    </row>
    <row r="819" spans="2:2">
      <c r="B819" s="5"/>
    </row>
    <row r="823" spans="2:2" ht="15.75">
      <c r="B823" s="17"/>
    </row>
    <row r="826" spans="2:2">
      <c r="B826" s="5"/>
    </row>
    <row r="827" spans="2:2">
      <c r="B827" s="5"/>
    </row>
    <row r="830" spans="2:2">
      <c r="B830" s="5"/>
    </row>
    <row r="831" spans="2:2">
      <c r="B831" s="5"/>
    </row>
    <row r="832" spans="2:2">
      <c r="B832" s="5"/>
    </row>
    <row r="833" spans="2:2">
      <c r="B833" s="5"/>
    </row>
    <row r="839" spans="2:2" ht="15.75">
      <c r="B839" s="17"/>
    </row>
    <row r="842" spans="2:2">
      <c r="B842" s="5"/>
    </row>
    <row r="843" spans="2:2">
      <c r="B843" s="5"/>
    </row>
    <row r="844" spans="2:2">
      <c r="B844" s="5"/>
    </row>
    <row r="845" spans="2:2">
      <c r="B845" s="5"/>
    </row>
    <row r="851" spans="2:3" ht="23.25">
      <c r="B851" s="11"/>
    </row>
    <row r="853" spans="2:3">
      <c r="B853" s="14"/>
      <c r="C853" s="14"/>
    </row>
    <row r="854" spans="2:3">
      <c r="B854" s="15"/>
      <c r="C854" s="15"/>
    </row>
    <row r="855" spans="2:3">
      <c r="B855" s="15"/>
      <c r="C855" s="15"/>
    </row>
    <row r="856" spans="2:3">
      <c r="B856" s="15"/>
      <c r="C856" s="15"/>
    </row>
    <row r="859" spans="2:3" ht="23.25">
      <c r="B859" s="11"/>
    </row>
    <row r="864" spans="2:3">
      <c r="B864" s="5"/>
    </row>
    <row r="865" spans="2:2">
      <c r="B865" s="5"/>
    </row>
    <row r="866" spans="2:2">
      <c r="B866" s="5"/>
    </row>
    <row r="872" spans="2:2" ht="23.25">
      <c r="B872" s="11"/>
    </row>
    <row r="875" spans="2:2">
      <c r="B875" s="5"/>
    </row>
    <row r="876" spans="2:2">
      <c r="B876" s="5"/>
    </row>
    <row r="877" spans="2:2">
      <c r="B877" s="5"/>
    </row>
    <row r="878" spans="2:2">
      <c r="B878" s="5"/>
    </row>
    <row r="903" spans="2:2" ht="23.25">
      <c r="B903" s="11"/>
    </row>
    <row r="906" spans="2:2">
      <c r="B906" s="5"/>
    </row>
    <row r="907" spans="2:2">
      <c r="B907" s="5"/>
    </row>
    <row r="908" spans="2:2">
      <c r="B908" s="5"/>
    </row>
    <row r="914" spans="2:2" ht="23.25">
      <c r="B914" s="11"/>
    </row>
    <row r="917" spans="2:2">
      <c r="B917" s="5"/>
    </row>
    <row r="918" spans="2:2">
      <c r="B918" s="5"/>
    </row>
    <row r="919" spans="2:2">
      <c r="B919" s="5"/>
    </row>
    <row r="920" spans="2:2">
      <c r="B920" s="10"/>
    </row>
    <row r="921" spans="2:2">
      <c r="B921" s="13"/>
    </row>
    <row r="925" spans="2:2" ht="23.25">
      <c r="B925" s="11"/>
    </row>
    <row r="926" spans="2:2">
      <c r="B926" s="10"/>
    </row>
    <row r="927" spans="2:2">
      <c r="B927" s="13"/>
    </row>
    <row r="933" spans="2:2" ht="23.25">
      <c r="B933" s="11"/>
    </row>
    <row r="936" spans="2:2">
      <c r="B936" s="10"/>
    </row>
    <row r="937" spans="2:2">
      <c r="B937" s="13"/>
    </row>
    <row r="940" spans="2:2">
      <c r="B940" s="10"/>
    </row>
    <row r="941" spans="2:2">
      <c r="B941" s="13"/>
    </row>
    <row r="945" spans="2:2" ht="23.25">
      <c r="B945" s="11"/>
    </row>
    <row r="946" spans="2:2">
      <c r="B946" s="10"/>
    </row>
    <row r="947" spans="2:2">
      <c r="B947" s="13"/>
    </row>
    <row r="951" spans="2:2" ht="23.25">
      <c r="B951" s="11"/>
    </row>
    <row r="952" spans="2:2">
      <c r="B952" s="10"/>
    </row>
    <row r="953" spans="2:2">
      <c r="B953" s="13"/>
    </row>
    <row r="957" spans="2:2" ht="23.25">
      <c r="B957" s="11"/>
    </row>
    <row r="960" spans="2:2">
      <c r="B960" s="10"/>
    </row>
    <row r="961" spans="2:2">
      <c r="B961" s="13"/>
    </row>
    <row r="962" spans="2:2">
      <c r="B962" s="13"/>
    </row>
    <row r="966" spans="2:2" ht="23.25">
      <c r="B966" s="11"/>
    </row>
    <row r="968" spans="2:2" ht="18">
      <c r="B968" s="12"/>
    </row>
    <row r="977" spans="2:2" ht="18">
      <c r="B977" s="12"/>
    </row>
    <row r="982" spans="2:2">
      <c r="B982" s="10"/>
    </row>
    <row r="983" spans="2:2">
      <c r="B983" s="13"/>
    </row>
    <row r="986" spans="2:2">
      <c r="B986" s="10"/>
    </row>
    <row r="987" spans="2:2">
      <c r="B987" s="13"/>
    </row>
    <row r="991" spans="2:2" ht="18">
      <c r="B991" s="12"/>
    </row>
    <row r="996" spans="2:2">
      <c r="B996" s="10"/>
    </row>
    <row r="997" spans="2:2">
      <c r="B997" s="13"/>
    </row>
    <row r="1001" spans="2:2" ht="23.25">
      <c r="B1001" s="11"/>
    </row>
    <row r="1004" spans="2:2">
      <c r="B1004" s="10"/>
    </row>
    <row r="1005" spans="2:2">
      <c r="B1005" s="13"/>
    </row>
    <row r="1011" spans="2:2" ht="23.25">
      <c r="B1011" s="11"/>
    </row>
    <row r="1014" spans="2:2">
      <c r="B1014" s="10"/>
    </row>
    <row r="1015" spans="2:2">
      <c r="B1015" s="13"/>
    </row>
    <row r="1016" spans="2:2">
      <c r="B1016" s="13"/>
    </row>
    <row r="1017" spans="2:2">
      <c r="B1017" s="13"/>
    </row>
    <row r="1018" spans="2:2">
      <c r="B1018" s="13"/>
    </row>
    <row r="1019" spans="2:2">
      <c r="B1019" s="13"/>
    </row>
    <row r="1020" spans="2:2">
      <c r="B1020" s="13"/>
    </row>
    <row r="1025" spans="2:2">
      <c r="B1025" s="5"/>
    </row>
    <row r="1026" spans="2:2">
      <c r="B1026" s="5"/>
    </row>
    <row r="1027" spans="2:2">
      <c r="B1027" s="5"/>
    </row>
    <row r="1028" spans="2:2">
      <c r="B1028" s="5"/>
    </row>
    <row r="1033" spans="2:2">
      <c r="B1033" s="10"/>
    </row>
    <row r="1034" spans="2:2">
      <c r="B1034" s="13"/>
    </row>
    <row r="1035" spans="2:2">
      <c r="B1035" s="13"/>
    </row>
    <row r="1036" spans="2:2">
      <c r="B1036" s="13"/>
    </row>
    <row r="1065" spans="2:2">
      <c r="B1065" s="5"/>
    </row>
    <row r="1066" spans="2:2">
      <c r="B1066" s="6"/>
    </row>
    <row r="1067" spans="2:2">
      <c r="B1067" s="5"/>
    </row>
    <row r="1072" spans="2:2">
      <c r="B1072" s="10"/>
    </row>
    <row r="1073" spans="2:2">
      <c r="B1073" s="13"/>
    </row>
    <row r="1078" spans="2:2">
      <c r="B1078" s="10"/>
    </row>
    <row r="1079" spans="2:2">
      <c r="B1079" s="13"/>
    </row>
    <row r="1084" spans="2:2">
      <c r="B1084" s="10"/>
    </row>
    <row r="1085" spans="2:2">
      <c r="B1085" s="13"/>
    </row>
    <row r="1088" spans="2:2">
      <c r="B1088" s="10"/>
    </row>
    <row r="1089" spans="2:2">
      <c r="B1089" s="13"/>
    </row>
    <row r="1090" spans="2:2">
      <c r="B1090" s="13"/>
    </row>
    <row r="1091" spans="2:2">
      <c r="B1091" s="13"/>
    </row>
    <row r="1094" spans="2:2">
      <c r="B1094" s="10"/>
    </row>
    <row r="1095" spans="2:2">
      <c r="B1095" s="13"/>
    </row>
    <row r="1096" spans="2:2">
      <c r="B1096" s="13"/>
    </row>
    <row r="1097" spans="2:2">
      <c r="B1097" s="13"/>
    </row>
    <row r="1102" spans="2:2">
      <c r="B1102" s="10"/>
    </row>
    <row r="1103" spans="2:2">
      <c r="B1103" s="13"/>
    </row>
    <row r="1104" spans="2:2">
      <c r="B1104" s="13"/>
    </row>
    <row r="1117" spans="2:2" ht="31.5">
      <c r="B1117" s="19"/>
    </row>
    <row r="1124" spans="2:5" ht="31.5">
      <c r="B1124" s="19"/>
    </row>
    <row r="1126" spans="2:5" ht="23.25">
      <c r="B1126" s="11"/>
    </row>
    <row r="1130" spans="2:5">
      <c r="B1130" s="14"/>
      <c r="C1130" s="14"/>
      <c r="D1130" s="14"/>
      <c r="E1130" s="14" t="s">
        <v>10</v>
      </c>
    </row>
    <row r="1131" spans="2:5">
      <c r="B1131" s="15"/>
      <c r="C1131" s="15"/>
      <c r="D1131" s="15"/>
      <c r="E1131" s="15" t="s">
        <v>12</v>
      </c>
    </row>
    <row r="1134" spans="2:5">
      <c r="B1134" s="10"/>
    </row>
    <row r="1135" spans="2:5">
      <c r="B1135" s="13"/>
    </row>
    <row r="1136" spans="2:5">
      <c r="B1136" s="13"/>
    </row>
    <row r="1137" spans="2:2">
      <c r="B1137" s="13"/>
    </row>
    <row r="1138" spans="2:2">
      <c r="B1138" s="13"/>
    </row>
    <row r="1139" spans="2:2">
      <c r="B1139" s="13"/>
    </row>
    <row r="1140" spans="2:2">
      <c r="B1140" s="13"/>
    </row>
    <row r="1141" spans="2:2">
      <c r="B1141" s="13"/>
    </row>
    <row r="1142" spans="2:2">
      <c r="B1142" s="13"/>
    </row>
    <row r="1143" spans="2:2">
      <c r="B1143" s="13"/>
    </row>
    <row r="1147" spans="2:2" ht="23.25">
      <c r="B1147" s="11"/>
    </row>
    <row r="1150" spans="2:2">
      <c r="B1150" s="10"/>
    </row>
    <row r="1151" spans="2:2">
      <c r="B1151" s="13"/>
    </row>
    <row r="1157" spans="2:2" ht="23.25">
      <c r="B1157" s="11"/>
    </row>
    <row r="1160" spans="2:2">
      <c r="B1160" s="10"/>
    </row>
    <row r="1161" spans="2:2">
      <c r="B1161" s="13"/>
    </row>
    <row r="1167" spans="2:2" ht="23.25">
      <c r="B1167" s="11"/>
    </row>
    <row r="1171" spans="2:4">
      <c r="B1171" s="14"/>
      <c r="C1171" s="14"/>
      <c r="D1171" s="14"/>
    </row>
    <row r="1172" spans="2:4">
      <c r="B1172" s="15"/>
      <c r="C1172" s="15"/>
      <c r="D1172" s="15"/>
    </row>
    <row r="1175" spans="2:4" ht="18">
      <c r="B1175" s="12"/>
    </row>
    <row r="1181" spans="2:4" ht="18">
      <c r="B1181" s="12"/>
    </row>
    <row r="1184" spans="2:4">
      <c r="B1184" s="10"/>
    </row>
    <row r="1185" spans="2:2">
      <c r="B1185" s="13"/>
    </row>
    <row r="1191" spans="2:2" ht="18">
      <c r="B1191" s="12"/>
    </row>
    <row r="1194" spans="2:2">
      <c r="B1194" s="10"/>
    </row>
    <row r="1195" spans="2:2">
      <c r="B1195" s="13"/>
    </row>
    <row r="1201" spans="2:2" ht="31.5">
      <c r="B1201" s="19"/>
    </row>
    <row r="1207" spans="2:2" ht="31.5">
      <c r="B1207" s="19"/>
    </row>
    <row r="1214" spans="2:2">
      <c r="B1214" s="5"/>
    </row>
    <row r="1215" spans="2:2">
      <c r="B1215" s="5"/>
    </row>
    <row r="1216" spans="2:2">
      <c r="B1216" s="5"/>
    </row>
    <row r="1218" spans="2:2" ht="23.25">
      <c r="B1218" s="11"/>
    </row>
    <row r="1219" spans="2:2">
      <c r="B1219" s="5"/>
    </row>
    <row r="1220" spans="2:2">
      <c r="B1220" s="5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30" spans="2:2" ht="31.5">
      <c r="B1230" s="19"/>
    </row>
    <row r="1233" spans="2:2">
      <c r="B1233" s="10"/>
    </row>
    <row r="1234" spans="2:2">
      <c r="B1234" s="13"/>
    </row>
    <row r="1235" spans="2:2">
      <c r="B1235" s="10"/>
    </row>
    <row r="1236" spans="2:2">
      <c r="B1236" s="13"/>
    </row>
    <row r="1237" spans="2:2">
      <c r="B1237" s="13"/>
    </row>
    <row r="1238" spans="2:2">
      <c r="B1238" s="13"/>
    </row>
    <row r="1239" spans="2:2">
      <c r="B1239" s="13"/>
    </row>
    <row r="1240" spans="2:2">
      <c r="B1240" s="13"/>
    </row>
    <row r="1241" spans="2:2">
      <c r="B1241" s="10"/>
    </row>
    <row r="1242" spans="2:2">
      <c r="B1242" s="13"/>
    </row>
    <row r="1243" spans="2:2">
      <c r="B1243" s="10"/>
    </row>
    <row r="1244" spans="2:2">
      <c r="B1244" s="13"/>
    </row>
    <row r="1245" spans="2:2">
      <c r="B1245" s="13"/>
    </row>
    <row r="1246" spans="2:2">
      <c r="B1246" s="13"/>
    </row>
    <row r="1247" spans="2:2">
      <c r="B1247" s="13"/>
    </row>
    <row r="1248" spans="2:2">
      <c r="B1248" s="13"/>
    </row>
    <row r="1249" spans="2:2">
      <c r="B1249" s="13"/>
    </row>
    <row r="1250" spans="2:2">
      <c r="B1250" s="13"/>
    </row>
    <row r="1251" spans="2:2">
      <c r="B1251" s="13"/>
    </row>
    <row r="1252" spans="2:2">
      <c r="B1252" s="10"/>
    </row>
    <row r="1253" spans="2:2">
      <c r="B1253" s="13"/>
    </row>
    <row r="1254" spans="2:2">
      <c r="B1254" s="10"/>
    </row>
    <row r="1255" spans="2:2">
      <c r="B1255" s="13"/>
    </row>
    <row r="1256" spans="2:2">
      <c r="B1256" s="13"/>
    </row>
    <row r="1257" spans="2:2">
      <c r="B1257" s="10"/>
    </row>
    <row r="1258" spans="2:2">
      <c r="B1258" s="13"/>
    </row>
    <row r="1259" spans="2:2">
      <c r="B1259" s="13"/>
    </row>
    <row r="1260" spans="2:2">
      <c r="B1260" s="10"/>
    </row>
    <row r="1261" spans="2:2">
      <c r="B1261" s="13"/>
    </row>
    <row r="1262" spans="2:2">
      <c r="B1262" s="13"/>
    </row>
    <row r="1263" spans="2:2">
      <c r="B1263" s="13"/>
    </row>
    <row r="1267" spans="2:2" ht="31.5">
      <c r="B1267" s="19"/>
    </row>
    <row r="1269" spans="2:2" ht="18">
      <c r="B1269" s="12"/>
    </row>
    <row r="1275" spans="2:2" ht="18">
      <c r="B1275" s="12"/>
    </row>
    <row r="1281" spans="2:2" ht="18">
      <c r="B1281" s="12"/>
    </row>
    <row r="1287" spans="2:2" ht="18">
      <c r="B1287" s="12"/>
    </row>
    <row r="1293" spans="2:2" ht="18">
      <c r="B1293" s="12"/>
    </row>
    <row r="1299" spans="2:2" ht="31.5">
      <c r="B1299" s="19"/>
    </row>
    <row r="1302" spans="2:2">
      <c r="B1302" s="5"/>
    </row>
    <row r="1303" spans="2:2">
      <c r="B1303" s="5"/>
    </row>
    <row r="1304" spans="2:2">
      <c r="B1304" s="5"/>
    </row>
    <row r="1305" spans="2:2">
      <c r="B1305" s="5"/>
    </row>
    <row r="1355" spans="2:2">
      <c r="B1355" s="5"/>
    </row>
    <row r="1356" spans="2:2">
      <c r="B1356" s="5"/>
    </row>
    <row r="1361" spans="2:2">
      <c r="B1361" s="10"/>
    </row>
    <row r="1362" spans="2:2">
      <c r="B1362" s="13"/>
    </row>
    <row r="1365" spans="2:2">
      <c r="B1365" s="5"/>
    </row>
    <row r="1366" spans="2:2">
      <c r="B1366" s="9"/>
    </row>
    <row r="1367" spans="2:2">
      <c r="B1367" s="9"/>
    </row>
    <row r="1374" spans="2:2">
      <c r="B1374" s="5"/>
    </row>
    <row r="1375" spans="2:2">
      <c r="B1375" s="5"/>
    </row>
    <row r="1376" spans="2:2">
      <c r="B1376" s="5"/>
    </row>
    <row r="1383" spans="2:2">
      <c r="B1383" s="5"/>
    </row>
    <row r="1384" spans="2:2">
      <c r="B1384" s="5"/>
    </row>
    <row r="1385" spans="2:2">
      <c r="B1385" s="5"/>
    </row>
    <row r="1388" spans="2:2">
      <c r="B1388" s="5"/>
    </row>
    <row r="1389" spans="2:2">
      <c r="B1389" s="5"/>
    </row>
    <row r="1390" spans="2:2">
      <c r="B1390" s="5"/>
    </row>
    <row r="1433" spans="2:2">
      <c r="B1433" s="10"/>
    </row>
    <row r="1434" spans="2:2">
      <c r="B1434" s="13"/>
    </row>
    <row r="1442" spans="2:2">
      <c r="B1442" s="5"/>
    </row>
    <row r="1443" spans="2:2">
      <c r="B1443" s="5"/>
    </row>
    <row r="1444" spans="2:2">
      <c r="B1444" s="5"/>
    </row>
    <row r="1445" spans="2:2">
      <c r="B1445" s="8"/>
    </row>
    <row r="1446" spans="2:2">
      <c r="B1446" s="5"/>
    </row>
    <row r="1447" spans="2:2">
      <c r="B1447" s="5"/>
    </row>
    <row r="1448" spans="2:2">
      <c r="B1448" s="5"/>
    </row>
    <row r="1449" spans="2:2">
      <c r="B1449" s="10"/>
    </row>
    <row r="1450" spans="2:2">
      <c r="B1450" s="13"/>
    </row>
    <row r="1451" spans="2:2">
      <c r="B1451" s="13"/>
    </row>
    <row r="1452" spans="2:2">
      <c r="B1452" s="13"/>
    </row>
    <row r="1460" spans="2:3">
      <c r="B1460" s="14"/>
      <c r="C1460" s="14"/>
    </row>
    <row r="1461" spans="2:3">
      <c r="B1461" s="15"/>
      <c r="C1461" s="15"/>
    </row>
    <row r="1462" spans="2:3">
      <c r="B1462" s="15"/>
      <c r="C1462" s="15"/>
    </row>
    <row r="1463" spans="2:3">
      <c r="B1463" s="15"/>
      <c r="C1463" s="15"/>
    </row>
    <row r="1464" spans="2:3">
      <c r="B1464" s="15"/>
      <c r="C1464" s="15"/>
    </row>
    <row r="1508" spans="2:3">
      <c r="B1508" s="10"/>
    </row>
    <row r="1509" spans="2:3">
      <c r="B1509" s="13"/>
    </row>
    <row r="1512" spans="2:3">
      <c r="B1512" s="10"/>
    </row>
    <row r="1513" spans="2:3">
      <c r="B1513" s="13"/>
    </row>
    <row r="1519" spans="2:3">
      <c r="B1519" s="14"/>
      <c r="C1519" s="14"/>
    </row>
    <row r="1520" spans="2:3">
      <c r="B1520" s="15"/>
      <c r="C1520" s="15"/>
    </row>
    <row r="1521" spans="2:3">
      <c r="B1521" s="15"/>
      <c r="C1521" s="15"/>
    </row>
    <row r="1522" spans="2:3">
      <c r="B1522" s="15"/>
      <c r="C1522" s="15"/>
    </row>
    <row r="1523" spans="2:3">
      <c r="B1523" s="15"/>
      <c r="C1523" s="15"/>
    </row>
    <row r="1526" spans="2:3">
      <c r="B1526" s="5"/>
    </row>
    <row r="1527" spans="2:3">
      <c r="B1527" s="9"/>
    </row>
    <row r="1528" spans="2:3">
      <c r="B1528" s="9"/>
    </row>
    <row r="1533" spans="2:3">
      <c r="B1533" s="5"/>
    </row>
    <row r="1534" spans="2:3">
      <c r="B1534" s="5"/>
    </row>
    <row r="1571" spans="2:2">
      <c r="B1571" s="10"/>
    </row>
    <row r="1572" spans="2:2">
      <c r="B1572" s="13"/>
    </row>
    <row r="1577" spans="2:2">
      <c r="B1577" s="5"/>
    </row>
    <row r="1578" spans="2:2">
      <c r="B1578" s="9"/>
    </row>
    <row r="1579" spans="2:2">
      <c r="B1579" s="9"/>
    </row>
    <row r="1586" spans="2:4">
      <c r="B1586" s="10"/>
    </row>
    <row r="1587" spans="2:4">
      <c r="B1587" s="13"/>
    </row>
    <row r="1595" spans="2:4">
      <c r="B1595" s="14"/>
      <c r="C1595" s="14"/>
      <c r="D1595" s="14"/>
    </row>
    <row r="1596" spans="2:4">
      <c r="B1596" s="15"/>
      <c r="C1596" s="15"/>
      <c r="D1596" s="15"/>
    </row>
    <row r="1597" spans="2:4">
      <c r="B1597" s="15"/>
      <c r="C1597" s="15"/>
      <c r="D1597" s="15"/>
    </row>
    <row r="1598" spans="2:4">
      <c r="B1598" s="15"/>
      <c r="C1598" s="15"/>
      <c r="D1598" s="15"/>
    </row>
    <row r="1599" spans="2:4">
      <c r="B1599" s="15"/>
      <c r="C1599" s="15"/>
      <c r="D1599" s="15"/>
    </row>
    <row r="1605" spans="2:2">
      <c r="B1605" s="5"/>
    </row>
    <row r="1606" spans="2:2">
      <c r="B1606" s="5"/>
    </row>
    <row r="1607" spans="2:2">
      <c r="B1607" s="5"/>
    </row>
    <row r="1608" spans="2:2">
      <c r="B1608" s="5"/>
    </row>
    <row r="1609" spans="2:2">
      <c r="B1609" s="5"/>
    </row>
    <row r="1649" spans="2:2">
      <c r="B1649" s="5"/>
    </row>
    <row r="1650" spans="2:2">
      <c r="B1650" s="5"/>
    </row>
    <row r="1653" spans="2:2">
      <c r="B1653" s="10"/>
    </row>
    <row r="1654" spans="2:2">
      <c r="B1654" s="13"/>
    </row>
    <row r="1657" spans="2:2">
      <c r="B1657" s="5"/>
    </row>
    <row r="1658" spans="2:2">
      <c r="B1658" s="5"/>
    </row>
    <row r="1659" spans="2:2">
      <c r="B1659" s="5"/>
    </row>
    <row r="1660" spans="2:2">
      <c r="B1660" s="5"/>
    </row>
    <row r="1661" spans="2:2">
      <c r="B1661" s="5"/>
    </row>
    <row r="1666" spans="2:2">
      <c r="B1666" s="5"/>
    </row>
    <row r="1667" spans="2:2">
      <c r="B1667" s="5"/>
    </row>
    <row r="1668" spans="2:2">
      <c r="B1668" s="5"/>
    </row>
    <row r="1674" spans="2:2">
      <c r="B1674" s="10"/>
    </row>
    <row r="1675" spans="2:2">
      <c r="B1675" s="13"/>
    </row>
    <row r="1680" spans="2:2">
      <c r="B1680" s="10"/>
    </row>
    <row r="1681" spans="2:2">
      <c r="B1681" s="13"/>
    </row>
    <row r="1685" spans="2:2" ht="23.25">
      <c r="B1685" s="11"/>
    </row>
    <row r="1688" spans="2:2">
      <c r="B1688" s="10"/>
    </row>
    <row r="1689" spans="2:2">
      <c r="B1689" s="13"/>
    </row>
    <row r="1692" spans="2:2">
      <c r="B1692" s="5"/>
    </row>
    <row r="1693" spans="2:2">
      <c r="B1693" s="5"/>
    </row>
    <row r="1694" spans="2:2">
      <c r="B1694" s="5"/>
    </row>
    <row r="1695" spans="2:2">
      <c r="B1695" s="5"/>
    </row>
    <row r="1699" spans="2:2" ht="23.25">
      <c r="B1699" s="11"/>
    </row>
    <row r="1702" spans="2:2">
      <c r="B1702" s="5"/>
    </row>
    <row r="1703" spans="2:2">
      <c r="B1703" s="5"/>
    </row>
    <row r="1704" spans="2:2">
      <c r="B1704" s="10"/>
    </row>
    <row r="1705" spans="2:2">
      <c r="B1705" s="13"/>
    </row>
    <row r="1706" spans="2:2">
      <c r="B1706" s="5"/>
    </row>
    <row r="1707" spans="2:2">
      <c r="B1707" s="5"/>
    </row>
    <row r="1759" spans="2:2">
      <c r="B1759" s="10"/>
    </row>
    <row r="1760" spans="2:2">
      <c r="B1760" s="13"/>
    </row>
    <row r="1768" spans="2:2" ht="23.25">
      <c r="B1768" s="11"/>
    </row>
    <row r="1771" spans="2:2">
      <c r="B1771" s="10"/>
    </row>
    <row r="1772" spans="2:2">
      <c r="B1772" s="13"/>
    </row>
    <row r="1773" spans="2:2">
      <c r="B1773" s="13"/>
    </row>
    <row r="1774" spans="2:2">
      <c r="B1774" s="13"/>
    </row>
    <row r="1775" spans="2:2">
      <c r="B1775" s="13"/>
    </row>
    <row r="1776" spans="2:2">
      <c r="B1776" s="13"/>
    </row>
    <row r="1779" spans="2:2">
      <c r="B1779" s="5"/>
    </row>
    <row r="1780" spans="2:2">
      <c r="B1780" s="5"/>
    </row>
    <row r="1781" spans="2:2">
      <c r="B1781" s="7"/>
    </row>
    <row r="1782" spans="2:2">
      <c r="B1782" s="7"/>
    </row>
    <row r="1783" spans="2:2">
      <c r="B1783" s="7"/>
    </row>
    <row r="1787" spans="2:2" ht="31.5">
      <c r="B1787" s="19"/>
    </row>
    <row r="1790" spans="2:2">
      <c r="B1790" s="5"/>
    </row>
    <row r="1791" spans="2:2">
      <c r="B1791" s="5"/>
    </row>
    <row r="1797" spans="2:3" ht="23.25">
      <c r="B1797" s="11"/>
    </row>
    <row r="1801" spans="2:3">
      <c r="B1801" s="14"/>
      <c r="C1801" s="14"/>
    </row>
    <row r="1802" spans="2:3">
      <c r="B1802" s="15"/>
      <c r="C1802" s="15"/>
    </row>
    <row r="1803" spans="2:3">
      <c r="B1803" s="15"/>
      <c r="C1803" s="15"/>
    </row>
    <row r="1804" spans="2:3">
      <c r="B1804" s="15"/>
      <c r="C1804" s="15"/>
    </row>
    <row r="1805" spans="2:3">
      <c r="B1805" s="15"/>
      <c r="C1805" s="15"/>
    </row>
    <row r="1806" spans="2:3">
      <c r="B1806" s="15"/>
      <c r="C1806" s="15"/>
    </row>
    <row r="1809" spans="2:2" ht="23.25">
      <c r="B1809" s="11"/>
    </row>
    <row r="1812" spans="2:2">
      <c r="B1812" s="10"/>
    </row>
    <row r="1813" spans="2:2">
      <c r="B1813" s="13"/>
    </row>
    <row r="1819" spans="2:2" ht="23.25">
      <c r="B1819" s="11"/>
    </row>
    <row r="1821" spans="2:2">
      <c r="B1821" s="20"/>
    </row>
    <row r="1822" spans="2:2">
      <c r="B1822" s="5"/>
    </row>
    <row r="1823" spans="2:2">
      <c r="B1823" s="5"/>
    </row>
    <row r="1826" spans="2:2">
      <c r="B1826" s="5"/>
    </row>
    <row r="1827" spans="2:2">
      <c r="B1827" s="5"/>
    </row>
    <row r="1828" spans="2:2">
      <c r="B1828" s="5"/>
    </row>
    <row r="1829" spans="2:2">
      <c r="B1829" s="7"/>
    </row>
    <row r="1830" spans="2:2">
      <c r="B1830" s="5"/>
    </row>
    <row r="1834" spans="2:2" ht="23.25">
      <c r="B1834" s="11"/>
    </row>
    <row r="1837" spans="2:2">
      <c r="B1837" s="10"/>
    </row>
    <row r="1838" spans="2:2">
      <c r="B1838" s="13"/>
    </row>
    <row r="1839" spans="2:2">
      <c r="B1839" s="13"/>
    </row>
    <row r="1845" spans="2:2" ht="31.5">
      <c r="B1845" s="19"/>
    </row>
    <row r="1848" spans="2:2">
      <c r="B1848" s="5"/>
    </row>
    <row r="1849" spans="2:2">
      <c r="B1849" s="5"/>
    </row>
    <row r="1850" spans="2:2">
      <c r="B1850" s="5"/>
    </row>
    <row r="1851" spans="2:2">
      <c r="B1851" s="5"/>
    </row>
    <row r="1861" spans="2:2">
      <c r="B1861" s="5"/>
    </row>
    <row r="1862" spans="2:2">
      <c r="B1862" s="5"/>
    </row>
    <row r="1863" spans="2:2">
      <c r="B1863" s="5"/>
    </row>
    <row r="1864" spans="2:2">
      <c r="B1864" s="5"/>
    </row>
    <row r="1865" spans="2:2">
      <c r="B1865" s="5"/>
    </row>
    <row r="1866" spans="2:2">
      <c r="B1866" s="5"/>
    </row>
    <row r="1872" spans="2:2" ht="31.5">
      <c r="B1872" s="19"/>
    </row>
    <row r="1874" spans="2:2" ht="23.25">
      <c r="B1874" s="11"/>
    </row>
    <row r="1876" spans="2:2" ht="18">
      <c r="B1876" s="12"/>
    </row>
    <row r="1877" spans="2:2">
      <c r="B1877" s="10"/>
    </row>
    <row r="1878" spans="2:2">
      <c r="B1878" s="13"/>
    </row>
    <row r="1880" spans="2:2" ht="18">
      <c r="B1880" s="12"/>
    </row>
    <row r="1881" spans="2:2">
      <c r="B1881" s="10"/>
    </row>
    <row r="1882" spans="2:2">
      <c r="B1882" s="13"/>
    </row>
    <row r="1886" spans="2:2" ht="23.25">
      <c r="B1886" s="11"/>
    </row>
    <row r="1887" spans="2:2">
      <c r="B1887" s="5"/>
    </row>
    <row r="1888" spans="2:2">
      <c r="B1888" s="5"/>
    </row>
    <row r="1889" spans="2:2">
      <c r="B1889" s="5"/>
    </row>
    <row r="1893" spans="2:2" ht="18">
      <c r="B1893" s="12"/>
    </row>
    <row r="1894" spans="2:2">
      <c r="B1894" s="10"/>
    </row>
    <row r="1895" spans="2:2">
      <c r="B1895" s="13"/>
    </row>
    <row r="1899" spans="2:2" ht="18">
      <c r="B1899" s="12"/>
    </row>
    <row r="1900" spans="2:2">
      <c r="B1900" s="10"/>
    </row>
    <row r="1901" spans="2:2">
      <c r="B1901" s="13"/>
    </row>
    <row r="1905" spans="2:2" ht="18">
      <c r="B1905" s="12"/>
    </row>
    <row r="1909" spans="2:2" ht="31.5">
      <c r="B1909" s="19"/>
    </row>
    <row r="1914" spans="2:2">
      <c r="B1914" s="5"/>
    </row>
    <row r="1915" spans="2:2">
      <c r="B1915" s="5"/>
    </row>
    <row r="1921" spans="2:2" ht="31.5">
      <c r="B1921" s="19"/>
    </row>
    <row r="1928" spans="2:2">
      <c r="B1928" s="10"/>
    </row>
    <row r="1929" spans="2:2">
      <c r="B1929" s="13"/>
    </row>
    <row r="1930" spans="2:2">
      <c r="B1930" s="13"/>
    </row>
    <row r="1931" spans="2:2">
      <c r="B1931" s="13"/>
    </row>
    <row r="1936" spans="2:2">
      <c r="B1936" s="5"/>
    </row>
    <row r="1937" spans="2:2">
      <c r="B1937" s="5"/>
    </row>
    <row r="1938" spans="2:2">
      <c r="B1938" s="5"/>
    </row>
    <row r="1942" spans="2:2" ht="31.5">
      <c r="B1942" s="19"/>
    </row>
    <row r="1944" spans="2:2" ht="23.25">
      <c r="B1944" s="11"/>
    </row>
    <row r="1950" spans="2:2" ht="23.25">
      <c r="B1950" s="11"/>
    </row>
    <row r="1951" spans="2:2">
      <c r="B1951" s="5"/>
    </row>
    <row r="1952" spans="2:2">
      <c r="B1952" s="5"/>
    </row>
    <row r="1953" spans="2:2">
      <c r="B1953" s="5"/>
    </row>
    <row r="1954" spans="2:2">
      <c r="B1954" s="5"/>
    </row>
    <row r="1955" spans="2:2">
      <c r="B1955" s="5"/>
    </row>
    <row r="1956" spans="2:2">
      <c r="B1956" s="10"/>
    </row>
    <row r="1957" spans="2:2">
      <c r="B1957" s="13"/>
    </row>
    <row r="1958" spans="2:2">
      <c r="B1958" s="5"/>
    </row>
    <row r="1959" spans="2:2">
      <c r="B1959" s="5"/>
    </row>
    <row r="1960" spans="2:2">
      <c r="B1960" s="10"/>
    </row>
    <row r="1961" spans="2:2">
      <c r="B1961" s="13"/>
    </row>
    <row r="1966" spans="2:2">
      <c r="B1966" s="5"/>
    </row>
    <row r="1967" spans="2:2">
      <c r="B1967" s="5"/>
    </row>
    <row r="1968" spans="2:2">
      <c r="B1968" s="5"/>
    </row>
    <row r="1969" spans="2:2">
      <c r="B1969" s="5"/>
    </row>
    <row r="1970" spans="2:2">
      <c r="B1970" s="5"/>
    </row>
    <row r="1976" spans="2:2" ht="31.5">
      <c r="B1976" s="19"/>
    </row>
    <row r="1979" spans="2:2">
      <c r="B1979" s="10"/>
    </row>
    <row r="1980" spans="2:2">
      <c r="B1980" s="13"/>
    </row>
    <row r="1983" spans="2:2">
      <c r="B1983" s="5"/>
    </row>
    <row r="1984" spans="2:2">
      <c r="B1984" s="5"/>
    </row>
    <row r="1985" spans="2:2">
      <c r="B1985" s="5"/>
    </row>
    <row r="1991" spans="2:2" ht="31.5">
      <c r="B1991" s="19"/>
    </row>
    <row r="1996" spans="2:2">
      <c r="B1996" s="5"/>
    </row>
    <row r="1997" spans="2:2">
      <c r="B1997" s="5"/>
    </row>
    <row r="1998" spans="2:2">
      <c r="B1998" s="5"/>
    </row>
    <row r="2001" spans="2:2">
      <c r="B2001" s="5"/>
    </row>
    <row r="2002" spans="2:2">
      <c r="B2002" s="5"/>
    </row>
    <row r="2052" spans="2:2">
      <c r="B2052" s="5"/>
    </row>
    <row r="2053" spans="2:2">
      <c r="B2053" s="5"/>
    </row>
    <row r="2054" spans="2:2">
      <c r="B2054" s="5"/>
    </row>
    <row r="2055" spans="2:2">
      <c r="B2055" s="5"/>
    </row>
    <row r="2061" spans="2:2" ht="31.5">
      <c r="B2061" s="19"/>
    </row>
    <row r="2064" spans="2:2">
      <c r="B2064" s="10"/>
    </row>
    <row r="2065" spans="2:3">
      <c r="B2065" s="13"/>
    </row>
    <row r="2073" spans="2:3" ht="31.5">
      <c r="B2073" s="19"/>
    </row>
    <row r="2075" spans="2:3" ht="23.25">
      <c r="B2075" s="11"/>
    </row>
    <row r="2077" spans="2:3">
      <c r="B2077" s="14"/>
      <c r="C2077" s="14"/>
    </row>
    <row r="2078" spans="2:3">
      <c r="B2078" s="15"/>
      <c r="C2078" s="15"/>
    </row>
    <row r="2079" spans="2:3">
      <c r="B2079" s="15"/>
      <c r="C2079" s="15"/>
    </row>
    <row r="2080" spans="2:3">
      <c r="B2080" s="15"/>
      <c r="C2080" s="15"/>
    </row>
    <row r="2081" spans="2:3">
      <c r="B2081" s="15"/>
      <c r="C2081" s="15"/>
    </row>
    <row r="2082" spans="2:3">
      <c r="B2082" s="15"/>
      <c r="C2082" s="15"/>
    </row>
    <row r="2085" spans="2:3" ht="23.25">
      <c r="B2085" s="11"/>
    </row>
    <row r="2088" spans="2:3">
      <c r="B2088" s="10"/>
    </row>
    <row r="2089" spans="2:3">
      <c r="B2089" s="13"/>
    </row>
    <row r="2093" spans="2:3" ht="23.25">
      <c r="B2093" s="11"/>
    </row>
    <row r="2094" spans="2:3">
      <c r="B2094" s="5"/>
    </row>
    <row r="2095" spans="2:3">
      <c r="B2095" s="9"/>
    </row>
    <row r="2096" spans="2:3">
      <c r="B2096" s="9"/>
    </row>
    <row r="2097" spans="2:2">
      <c r="B2097" s="9"/>
    </row>
    <row r="2098" spans="2:2">
      <c r="B2098" s="9"/>
    </row>
    <row r="2102" spans="2:2" ht="31.5">
      <c r="B2102" s="19"/>
    </row>
    <row r="2105" spans="2:2">
      <c r="B2105" s="5"/>
    </row>
    <row r="2106" spans="2:2">
      <c r="B2106" s="5"/>
    </row>
    <row r="2107" spans="2:2">
      <c r="B2107" s="5"/>
    </row>
    <row r="2111" spans="2:2" ht="31.5">
      <c r="B2111" s="19"/>
    </row>
    <row r="2115" spans="2:3">
      <c r="B2115" s="14"/>
      <c r="C2115" s="14"/>
    </row>
    <row r="2116" spans="2:3">
      <c r="B2116" s="15"/>
      <c r="C2116" s="15"/>
    </row>
    <row r="2117" spans="2:3">
      <c r="B2117" s="15"/>
      <c r="C2117" s="15"/>
    </row>
    <row r="2118" spans="2:3">
      <c r="B2118" s="15"/>
      <c r="C2118" s="15"/>
    </row>
    <row r="2121" spans="2:3" ht="31.5">
      <c r="B2121" s="19"/>
    </row>
    <row r="2124" spans="2:3">
      <c r="B2124" s="5"/>
    </row>
    <row r="2125" spans="2:3">
      <c r="B2125" s="5"/>
    </row>
    <row r="2126" spans="2:3">
      <c r="B2126" s="5"/>
    </row>
    <row r="2127" spans="2:3">
      <c r="B2127" s="5"/>
    </row>
    <row r="2170" spans="2:2">
      <c r="B2170" s="5"/>
    </row>
    <row r="2171" spans="2:2">
      <c r="B2171" s="5"/>
    </row>
    <row r="2172" spans="2:2">
      <c r="B2172" s="5"/>
    </row>
    <row r="2177" spans="2:2">
      <c r="B2177" s="10"/>
    </row>
    <row r="2178" spans="2:2">
      <c r="B2178" s="13"/>
    </row>
    <row r="2182" spans="2:2" ht="23.25">
      <c r="B2182" s="11"/>
    </row>
    <row r="2183" spans="2:2">
      <c r="B2183" s="10"/>
    </row>
    <row r="2184" spans="2:2">
      <c r="B2184" s="13"/>
    </row>
    <row r="2185" spans="2:2">
      <c r="B2185" s="13"/>
    </row>
    <row r="2186" spans="2:2">
      <c r="B2186" s="10"/>
    </row>
    <row r="2187" spans="2:2">
      <c r="B2187" s="13"/>
    </row>
    <row r="2188" spans="2:2">
      <c r="B2188" s="13"/>
    </row>
    <row r="2190" spans="2:2">
      <c r="B2190" s="20"/>
    </row>
    <row r="2194" spans="2:2" ht="23.25">
      <c r="B2194" s="11"/>
    </row>
    <row r="2197" spans="2:2">
      <c r="B2197" s="5"/>
    </row>
    <row r="2198" spans="2:2">
      <c r="B2198" s="5"/>
    </row>
    <row r="2199" spans="2:2">
      <c r="B2199" s="5"/>
    </row>
    <row r="2200" spans="2:2">
      <c r="B2200" s="5"/>
    </row>
    <row r="2201" spans="2:2">
      <c r="B2201" s="5"/>
    </row>
    <row r="2202" spans="2:2">
      <c r="B2202" s="5"/>
    </row>
    <row r="2205" spans="2:2">
      <c r="B2205" s="10"/>
    </row>
    <row r="2206" spans="2:2">
      <c r="B2206" s="13"/>
    </row>
    <row r="2246" spans="2:2" ht="31.5">
      <c r="B2246" s="19"/>
    </row>
    <row r="2249" spans="2:2">
      <c r="B2249" s="10"/>
    </row>
    <row r="2250" spans="2:2">
      <c r="B2250" s="13"/>
    </row>
    <row r="2254" spans="2:2" ht="23.25">
      <c r="B2254" s="11"/>
    </row>
    <row r="2257" spans="2:2">
      <c r="B2257" s="5"/>
    </row>
    <row r="2258" spans="2:2">
      <c r="B2258" s="5"/>
    </row>
    <row r="2259" spans="2:2">
      <c r="B2259" s="5"/>
    </row>
    <row r="2262" spans="2:2">
      <c r="B2262" s="10"/>
    </row>
    <row r="2263" spans="2:2">
      <c r="B2263" s="13"/>
    </row>
    <row r="2267" spans="2:2" ht="31.5">
      <c r="B2267" s="19"/>
    </row>
    <row r="2270" spans="2:2">
      <c r="B2270" s="10"/>
    </row>
    <row r="2271" spans="2:2">
      <c r="B2271" s="13"/>
    </row>
    <row r="2275" spans="2:2" ht="23.25">
      <c r="B2275" s="11"/>
    </row>
    <row r="2278" spans="2:2">
      <c r="B2278" s="5"/>
    </row>
    <row r="2279" spans="2:2">
      <c r="B2279" s="5"/>
    </row>
    <row r="2280" spans="2:2">
      <c r="B2280" s="5"/>
    </row>
    <row r="2281" spans="2:2">
      <c r="B2281" s="5"/>
    </row>
    <row r="2285" spans="2:2" ht="23.25">
      <c r="B2285" s="11"/>
    </row>
    <row r="2288" spans="2:2">
      <c r="B2288" s="10"/>
    </row>
    <row r="2289" spans="2:2">
      <c r="B2289" s="13"/>
    </row>
    <row r="2292" spans="2:2">
      <c r="B2292" s="5"/>
    </row>
    <row r="2293" spans="2:2">
      <c r="B2293" s="5"/>
    </row>
    <row r="2294" spans="2:2">
      <c r="B2294" s="5"/>
    </row>
    <row r="2300" spans="2:2" ht="23.25">
      <c r="B2300" s="11"/>
    </row>
    <row r="2303" spans="2:2">
      <c r="B2303" s="5"/>
    </row>
    <row r="2304" spans="2:2">
      <c r="B2304" s="5"/>
    </row>
    <row r="2305" spans="2:2">
      <c r="B2305" s="5"/>
    </row>
    <row r="2306" spans="2:2">
      <c r="B2306" s="5"/>
    </row>
    <row r="2309" spans="2:2">
      <c r="B2309" s="5"/>
    </row>
    <row r="2310" spans="2:2">
      <c r="B2310" s="5"/>
    </row>
    <row r="2358" spans="2:2" ht="31.5">
      <c r="B2358" s="19"/>
    </row>
    <row r="2361" spans="2:2">
      <c r="B2361" s="10"/>
    </row>
    <row r="2362" spans="2:2">
      <c r="B2362" s="13"/>
    </row>
    <row r="2366" spans="2:2" ht="31.5">
      <c r="B2366" s="19"/>
    </row>
    <row r="2369" spans="2:2">
      <c r="B2369" s="10"/>
    </row>
    <row r="2370" spans="2:2">
      <c r="B2370" s="13"/>
    </row>
    <row r="2374" spans="2:2" ht="31.5">
      <c r="B2374" s="19"/>
    </row>
    <row r="2377" spans="2:2">
      <c r="B2377" s="10"/>
    </row>
    <row r="2378" spans="2:2">
      <c r="B2378" s="13"/>
    </row>
    <row r="2382" spans="2:2" ht="31.5">
      <c r="B2382" s="19"/>
    </row>
    <row r="2383" spans="2:2">
      <c r="B2383" s="10"/>
    </row>
    <row r="2384" spans="2:2">
      <c r="B2384" s="13"/>
    </row>
    <row r="2385" spans="2:2">
      <c r="B2385" s="13"/>
    </row>
    <row r="2387" spans="2:2">
      <c r="B2387" s="20"/>
    </row>
    <row r="2388" spans="2:2">
      <c r="B2388" s="5"/>
    </row>
    <row r="2389" spans="2:2">
      <c r="B2389" s="5"/>
    </row>
    <row r="2393" spans="2:2" ht="31.5">
      <c r="B2393" s="19"/>
    </row>
    <row r="2395" spans="2:2">
      <c r="B2395" s="21"/>
    </row>
    <row r="2398" spans="2:2">
      <c r="B2398" s="10"/>
    </row>
    <row r="2399" spans="2:2">
      <c r="B2399" s="13"/>
    </row>
    <row r="2403" spans="2:2">
      <c r="B2403" s="21"/>
    </row>
    <row r="2406" spans="2:2">
      <c r="B2406" s="10"/>
    </row>
    <row r="2407" spans="2:2">
      <c r="B2407" s="13"/>
    </row>
    <row r="2412" spans="2:2">
      <c r="B2412" s="5"/>
    </row>
    <row r="2413" spans="2:2">
      <c r="B2413" s="5"/>
    </row>
    <row r="2414" spans="2:2">
      <c r="B2414" s="5"/>
    </row>
    <row r="2415" spans="2:2">
      <c r="B2415" s="5"/>
    </row>
    <row r="2458" spans="2:2">
      <c r="B2458" s="5"/>
    </row>
    <row r="2459" spans="2:2">
      <c r="B2459" s="5"/>
    </row>
    <row r="2460" spans="2:2">
      <c r="B2460" s="5"/>
    </row>
    <row r="2461" spans="2:2">
      <c r="B2461" s="5"/>
    </row>
    <row r="2464" spans="2:2">
      <c r="B2464" s="5"/>
    </row>
    <row r="2465" spans="2:2">
      <c r="B2465" s="5"/>
    </row>
    <row r="2468" spans="2:2">
      <c r="B2468" s="5"/>
    </row>
    <row r="2469" spans="2:2">
      <c r="B2469" s="5"/>
    </row>
    <row r="2470" spans="2:2">
      <c r="B2470" s="5"/>
    </row>
    <row r="2471" spans="2:2">
      <c r="B2471" s="5"/>
    </row>
    <row r="2475" spans="2:2" ht="31.5">
      <c r="B2475" s="19"/>
    </row>
    <row r="2478" spans="2:2">
      <c r="B2478" s="10"/>
    </row>
    <row r="2479" spans="2:2">
      <c r="B2479" s="13"/>
    </row>
    <row r="2483" spans="2:2" ht="31.5">
      <c r="B2483" s="19"/>
    </row>
    <row r="2486" spans="2:2">
      <c r="B2486" s="10"/>
    </row>
    <row r="2487" spans="2:2">
      <c r="B2487" s="13"/>
    </row>
    <row r="2490" spans="2:2">
      <c r="B2490" s="5"/>
    </row>
    <row r="2491" spans="2:2">
      <c r="B2491" s="5"/>
    </row>
    <row r="2492" spans="2:2">
      <c r="B2492" s="5"/>
    </row>
    <row r="2498" spans="2:2" ht="31.5">
      <c r="B2498" s="19"/>
    </row>
    <row r="2501" spans="2:2">
      <c r="B2501" s="5"/>
    </row>
    <row r="2502" spans="2:2">
      <c r="B2502" s="5"/>
    </row>
    <row r="2503" spans="2:2">
      <c r="B2503" s="5"/>
    </row>
    <row r="2506" spans="2:2">
      <c r="B2506" s="10"/>
    </row>
    <row r="2507" spans="2:2">
      <c r="B2507" s="13"/>
    </row>
    <row r="2508" spans="2:2">
      <c r="B2508" s="13"/>
    </row>
    <row r="2509" spans="2:2">
      <c r="B2509" s="13"/>
    </row>
    <row r="2515" spans="2:2" ht="31.5">
      <c r="B2515" s="19"/>
    </row>
    <row r="2518" spans="2:2">
      <c r="B2518" s="10"/>
    </row>
    <row r="2519" spans="2:2">
      <c r="B2519" s="13"/>
    </row>
    <row r="2520" spans="2:2">
      <c r="B2520" s="13"/>
    </row>
    <row r="2521" spans="2:2">
      <c r="B2521" s="13"/>
    </row>
    <row r="2525" spans="2:2" ht="31.5">
      <c r="B2525" s="19"/>
    </row>
    <row r="2528" spans="2:2">
      <c r="B2528" s="10"/>
    </row>
    <row r="2529" spans="2:2">
      <c r="B2529" s="13"/>
    </row>
    <row r="2530" spans="2:2">
      <c r="B2530" s="13"/>
    </row>
    <row r="2531" spans="2:2">
      <c r="B2531" s="13"/>
    </row>
    <row r="2569" spans="2:2">
      <c r="B2569" s="5"/>
    </row>
    <row r="2570" spans="2:2">
      <c r="B2570" s="9"/>
    </row>
    <row r="2571" spans="2:2">
      <c r="B2571" s="9"/>
    </row>
    <row r="2574" spans="2:2">
      <c r="B2574" s="5"/>
    </row>
    <row r="2575" spans="2:2">
      <c r="B2575" s="5"/>
    </row>
    <row r="2576" spans="2:2">
      <c r="B2576" s="5"/>
    </row>
    <row r="2582" spans="2:2" ht="31.5">
      <c r="B2582" s="19"/>
    </row>
    <row r="2584" spans="2:2" ht="23.25">
      <c r="B2584" s="11"/>
    </row>
    <row r="2585" spans="2:2">
      <c r="B2585" s="10"/>
    </row>
    <row r="2586" spans="2:2">
      <c r="B2586" s="13"/>
    </row>
    <row r="2592" spans="2:2" ht="31.5">
      <c r="B2592" s="19"/>
    </row>
    <row r="2593" spans="2:2">
      <c r="B2593" s="10"/>
    </row>
    <row r="2594" spans="2:2">
      <c r="B2594" s="13"/>
    </row>
    <row r="2595" spans="2:2">
      <c r="B2595" s="13"/>
    </row>
    <row r="2596" spans="2:2">
      <c r="B2596" s="13"/>
    </row>
    <row r="2599" spans="2:2">
      <c r="B2599" s="5"/>
    </row>
    <row r="2600" spans="2:2">
      <c r="B2600" s="5"/>
    </row>
    <row r="2604" spans="2:2" ht="31.5">
      <c r="B2604" s="19"/>
    </row>
    <row r="2606" spans="2:2" ht="23.25">
      <c r="B2606" s="11"/>
    </row>
    <row r="2607" spans="2:2">
      <c r="B2607" s="10"/>
    </row>
    <row r="2608" spans="2:2">
      <c r="B2608" s="13"/>
    </row>
    <row r="2614" spans="2:2" ht="31.5">
      <c r="B2614" s="19"/>
    </row>
    <row r="2616" spans="2:2">
      <c r="B2616" s="21"/>
    </row>
    <row r="2617" spans="2:2">
      <c r="B2617" s="10"/>
    </row>
    <row r="2618" spans="2:2">
      <c r="B2618" s="13"/>
    </row>
    <row r="2620" spans="2:2">
      <c r="B2620" s="21"/>
    </row>
    <row r="2621" spans="2:2">
      <c r="B2621" s="10"/>
    </row>
    <row r="2622" spans="2:2">
      <c r="B2622" s="13"/>
    </row>
    <row r="2628" spans="2:2" ht="31.5">
      <c r="B2628" s="19"/>
    </row>
    <row r="2631" spans="2:2">
      <c r="B2631" s="10"/>
    </row>
    <row r="2632" spans="2:2">
      <c r="B2632" s="13"/>
    </row>
    <row r="2633" spans="2:2">
      <c r="B2633" s="13"/>
    </row>
    <row r="2682" spans="2:2" ht="31.5">
      <c r="B2682" s="19"/>
    </row>
    <row r="2685" spans="2:2">
      <c r="B2685" s="5"/>
    </row>
    <row r="2686" spans="2:2">
      <c r="B2686" s="5"/>
    </row>
    <row r="2687" spans="2:2">
      <c r="B2687" s="5"/>
    </row>
    <row r="2691" spans="2:2" ht="31.5">
      <c r="B2691" s="19"/>
    </row>
    <row r="2693" spans="2:2" ht="23.25">
      <c r="B2693" s="11"/>
    </row>
    <row r="2694" spans="2:2">
      <c r="B2694" s="10"/>
    </row>
    <row r="2695" spans="2:2">
      <c r="B2695" s="13"/>
    </row>
    <row r="2699" spans="2:2" ht="31.5">
      <c r="B2699" s="19"/>
    </row>
    <row r="2700" spans="2:2">
      <c r="B2700" s="10"/>
    </row>
    <row r="2701" spans="2:2">
      <c r="B2701" s="13"/>
    </row>
    <row r="2702" spans="2:2">
      <c r="B2702" s="10"/>
    </row>
    <row r="2703" spans="2:2">
      <c r="B2703" s="13"/>
    </row>
    <row r="2704" spans="2:2">
      <c r="B2704" s="13"/>
    </row>
    <row r="2705" spans="2:2">
      <c r="B2705" s="10"/>
    </row>
    <row r="2706" spans="2:2">
      <c r="B2706" s="13"/>
    </row>
    <row r="2707" spans="2:2">
      <c r="B2707" s="13"/>
    </row>
    <row r="2711" spans="2:2" ht="31.5">
      <c r="B2711" s="19"/>
    </row>
    <row r="2713" spans="2:2" ht="23.25">
      <c r="B2713" s="11"/>
    </row>
    <row r="2715" spans="2:2">
      <c r="B2715" s="21"/>
    </row>
    <row r="2719" spans="2:2">
      <c r="B2719" s="21"/>
    </row>
    <row r="2724" spans="2:2">
      <c r="B2724" s="21"/>
    </row>
    <row r="2731" spans="2:2" ht="31.5">
      <c r="B2731" s="19"/>
    </row>
    <row r="2734" spans="2:2">
      <c r="B2734" s="5"/>
    </row>
    <row r="2735" spans="2:2">
      <c r="B2735" s="5"/>
    </row>
    <row r="2736" spans="2:2">
      <c r="B2736" s="5"/>
    </row>
    <row r="2740" spans="2:6" ht="31.5">
      <c r="B2740" s="19"/>
    </row>
    <row r="2744" spans="2:6">
      <c r="B2744" s="14"/>
      <c r="C2744" s="14"/>
      <c r="D2744" s="14"/>
      <c r="E2744" s="14" t="s">
        <v>13</v>
      </c>
      <c r="F2744" s="14" t="s">
        <v>14</v>
      </c>
    </row>
    <row r="2747" spans="2:6">
      <c r="B2747" s="5"/>
    </row>
    <row r="2748" spans="2:6">
      <c r="B2748" s="5"/>
    </row>
    <row r="2749" spans="2:6">
      <c r="B2749" s="5"/>
    </row>
    <row r="2750" spans="2:6">
      <c r="B2750" s="5"/>
    </row>
    <row r="2802" spans="2:2">
      <c r="B2802" s="5"/>
    </row>
    <row r="2803" spans="2:2">
      <c r="B2803" s="5"/>
    </row>
    <row r="2806" spans="2:2">
      <c r="B2806" s="5"/>
    </row>
    <row r="2807" spans="2:2">
      <c r="B2807" s="5"/>
    </row>
    <row r="2815" spans="2:2" ht="31.5">
      <c r="B2815" s="19"/>
    </row>
    <row r="2821" spans="2:3" ht="31.5">
      <c r="B2821" s="19"/>
    </row>
    <row r="2825" spans="2:3">
      <c r="B2825" s="14"/>
      <c r="C2825" s="14"/>
    </row>
    <row r="2826" spans="2:3">
      <c r="B2826" s="15"/>
      <c r="C2826" s="15"/>
    </row>
    <row r="2827" spans="2:3">
      <c r="B2827" s="15"/>
      <c r="C2827" s="15"/>
    </row>
    <row r="2828" spans="2:3">
      <c r="B2828" s="15"/>
      <c r="C2828" s="15"/>
    </row>
    <row r="2829" spans="2:3">
      <c r="B2829" s="15"/>
      <c r="C2829" s="15"/>
    </row>
    <row r="2832" spans="2:3" ht="31.5">
      <c r="B2832" s="19"/>
    </row>
    <row r="2835" spans="2:2">
      <c r="B2835" s="10"/>
    </row>
    <row r="2836" spans="2:2">
      <c r="B2836" s="13"/>
    </row>
    <row r="2840" spans="2:2" ht="31.5">
      <c r="B2840" s="19"/>
    </row>
    <row r="2843" spans="2:2">
      <c r="B2843" s="10"/>
    </row>
    <row r="2844" spans="2:2">
      <c r="B2844" s="13"/>
    </row>
    <row r="2848" spans="2:2" ht="31.5">
      <c r="B2848" s="19"/>
    </row>
    <row r="2853" spans="2:2">
      <c r="B2853" s="10"/>
    </row>
    <row r="2854" spans="2:2">
      <c r="B2854" s="13"/>
    </row>
    <row r="2857" spans="2:2">
      <c r="B2857" s="10"/>
    </row>
    <row r="2858" spans="2:2">
      <c r="B2858" s="13"/>
    </row>
    <row r="2862" spans="2:2" ht="31.5">
      <c r="B2862" s="19"/>
    </row>
    <row r="2865" spans="2:2">
      <c r="B2865" s="5"/>
    </row>
    <row r="2866" spans="2:2">
      <c r="B2866" s="5"/>
    </row>
    <row r="2867" spans="2:2">
      <c r="B2867" s="5"/>
    </row>
    <row r="2871" spans="2:2" ht="31.5">
      <c r="B2871" s="19"/>
    </row>
    <row r="2874" spans="2:2">
      <c r="B2874" s="5"/>
    </row>
    <row r="2875" spans="2:2">
      <c r="B2875" s="5"/>
    </row>
    <row r="2876" spans="2:2">
      <c r="B2876" s="9"/>
    </row>
    <row r="2880" spans="2:2" ht="31.5">
      <c r="B2880" s="19"/>
    </row>
    <row r="2885" spans="2:2">
      <c r="B2885" s="10"/>
    </row>
    <row r="2886" spans="2:2">
      <c r="B2886" s="13"/>
    </row>
    <row r="2890" spans="2:2" ht="31.5">
      <c r="B2890" s="19"/>
    </row>
    <row r="2891" spans="2:2">
      <c r="B2891" s="10"/>
    </row>
    <row r="2892" spans="2:2">
      <c r="B2892" s="13"/>
    </row>
    <row r="2896" spans="2:2" ht="31.5">
      <c r="B2896" s="19"/>
    </row>
    <row r="2899" spans="2:2">
      <c r="B2899" s="5"/>
    </row>
    <row r="2900" spans="2:2">
      <c r="B2900" s="5"/>
    </row>
    <row r="2901" spans="2:2">
      <c r="B2901" s="5"/>
    </row>
    <row r="2902" spans="2:2">
      <c r="B2902" s="5"/>
    </row>
    <row r="2903" spans="2:2">
      <c r="B2903" s="7"/>
    </row>
    <row r="2904" spans="2:2">
      <c r="B2904" s="7"/>
    </row>
    <row r="2907" spans="2:2">
      <c r="B2907" s="10"/>
    </row>
    <row r="2908" spans="2:2">
      <c r="B2908" s="13"/>
    </row>
    <row r="2912" spans="2:2" ht="31.5">
      <c r="B2912" s="19"/>
    </row>
    <row r="2916" spans="2:2" ht="23.25">
      <c r="B2916" s="11"/>
    </row>
    <row r="2919" spans="2:2">
      <c r="B2919" s="5"/>
    </row>
    <row r="2920" spans="2:2">
      <c r="B2920" s="5"/>
    </row>
    <row r="2924" spans="2:2" ht="23.25">
      <c r="B2924" s="11"/>
    </row>
    <row r="2927" spans="2:2">
      <c r="B2927" s="5"/>
    </row>
    <row r="2928" spans="2:2">
      <c r="B2928" s="5"/>
    </row>
    <row r="2934" spans="2:2" ht="31.5">
      <c r="B2934" s="19"/>
    </row>
    <row r="2937" spans="2:2">
      <c r="B2937" s="5"/>
    </row>
    <row r="2938" spans="2:2">
      <c r="B2938" s="5"/>
    </row>
    <row r="2939" spans="2:2">
      <c r="B2939" s="5"/>
    </row>
    <row r="2940" spans="2:2">
      <c r="B2940" s="5"/>
    </row>
    <row r="2944" spans="2:2" ht="23.25">
      <c r="B2944" s="11"/>
    </row>
    <row r="2947" spans="2:2">
      <c r="B2947" s="10"/>
    </row>
    <row r="2948" spans="2:2">
      <c r="B2948" s="13"/>
    </row>
    <row r="2951" spans="2:2">
      <c r="B2951" s="5"/>
    </row>
    <row r="2952" spans="2:2">
      <c r="B2952" s="5"/>
    </row>
    <row r="2953" spans="2:2">
      <c r="B2953" s="5"/>
    </row>
    <row r="2954" spans="2:2">
      <c r="B2954" s="5"/>
    </row>
    <row r="2958" spans="2:2" ht="31.5">
      <c r="B2958" s="19"/>
    </row>
    <row r="2961" spans="2:2">
      <c r="B2961" s="5"/>
    </row>
    <row r="2962" spans="2:2">
      <c r="B2962" s="5"/>
    </row>
    <row r="2963" spans="2:2">
      <c r="B2963" s="5"/>
    </row>
    <row r="2964" spans="2:2">
      <c r="B2964" s="5"/>
    </row>
    <row r="3012" spans="2:2">
      <c r="B3012" s="5"/>
    </row>
    <row r="3013" spans="2:2">
      <c r="B3013" s="9"/>
    </row>
    <row r="3014" spans="2:2">
      <c r="B3014" s="9"/>
    </row>
    <row r="3020" spans="2:2" ht="31.5">
      <c r="B3020" s="19"/>
    </row>
    <row r="3022" spans="2:2" ht="23.25">
      <c r="B3022" s="11"/>
    </row>
    <row r="3026" spans="2:3">
      <c r="B3026" s="14"/>
      <c r="C3026" s="14"/>
    </row>
    <row r="3027" spans="2:3">
      <c r="B3027" s="15"/>
      <c r="C3027" s="15"/>
    </row>
    <row r="3028" spans="2:3">
      <c r="B3028" s="15"/>
      <c r="C3028" s="15"/>
    </row>
    <row r="3029" spans="2:3">
      <c r="B3029" s="15"/>
      <c r="C3029" s="15"/>
    </row>
    <row r="3030" spans="2:3">
      <c r="B3030" s="15"/>
      <c r="C3030" s="15"/>
    </row>
    <row r="3031" spans="2:3">
      <c r="B3031" s="15"/>
      <c r="C3031" s="15"/>
    </row>
    <row r="3034" spans="2:3" ht="31.5">
      <c r="B3034" s="19"/>
    </row>
    <row r="3036" spans="2:3" ht="23.25">
      <c r="B3036" s="11"/>
    </row>
    <row r="3037" spans="2:3">
      <c r="B3037" s="10"/>
    </row>
    <row r="3038" spans="2:3">
      <c r="B3038" s="13"/>
    </row>
    <row r="3042" spans="2:2" ht="23.25">
      <c r="B3042" s="11"/>
    </row>
    <row r="3043" spans="2:2">
      <c r="B3043" s="10"/>
    </row>
    <row r="3044" spans="2:2">
      <c r="B3044" s="13"/>
    </row>
    <row r="3048" spans="2:2" ht="23.25">
      <c r="B3048" s="11"/>
    </row>
    <row r="3049" spans="2:2">
      <c r="B3049" s="10"/>
    </row>
    <row r="3050" spans="2:2">
      <c r="B3050" s="13"/>
    </row>
    <row r="3054" spans="2:2" ht="23.25">
      <c r="B3054" s="11"/>
    </row>
    <row r="3055" spans="2:2">
      <c r="B3055" s="10"/>
    </row>
    <row r="3056" spans="2:2">
      <c r="B3056" s="13"/>
    </row>
    <row r="3060" spans="2:2" ht="23.25">
      <c r="B3060" s="11"/>
    </row>
    <row r="3061" spans="2:2">
      <c r="B3061" s="10"/>
    </row>
    <row r="3062" spans="2:2">
      <c r="B3062" s="13"/>
    </row>
    <row r="3066" spans="2:2" ht="31.5">
      <c r="B3066" s="19"/>
    </row>
    <row r="3068" spans="2:2" ht="23.25">
      <c r="B3068" s="11"/>
    </row>
    <row r="3070" spans="2:2" ht="23.25">
      <c r="B3070" s="11"/>
    </row>
    <row r="3071" spans="2:2">
      <c r="B3071" s="10"/>
    </row>
    <row r="3072" spans="2:2">
      <c r="B3072" s="13"/>
    </row>
    <row r="3081" spans="2:2" ht="31.5">
      <c r="B3081" s="19"/>
    </row>
    <row r="3083" spans="2:2" ht="23.25">
      <c r="B3083" s="11"/>
    </row>
    <row r="3084" spans="2:2">
      <c r="B3084" s="10"/>
    </row>
    <row r="3085" spans="2:2">
      <c r="B3085" s="13"/>
    </row>
    <row r="3087" spans="2:2" ht="23.25">
      <c r="B3087" s="11"/>
    </row>
    <row r="3088" spans="2:2">
      <c r="B3088" s="10"/>
    </row>
    <row r="3089" spans="2:2">
      <c r="B3089" s="13"/>
    </row>
    <row r="3093" spans="2:2" ht="31.5">
      <c r="B3093" s="19"/>
    </row>
    <row r="3095" spans="2:2" ht="23.25">
      <c r="B3095" s="11"/>
    </row>
    <row r="3096" spans="2:2">
      <c r="B3096" s="10"/>
    </row>
    <row r="3097" spans="2:2">
      <c r="B3097" s="13"/>
    </row>
    <row r="3099" spans="2:2" ht="23.25">
      <c r="B3099" s="11"/>
    </row>
    <row r="3100" spans="2:2">
      <c r="B3100" s="10"/>
    </row>
    <row r="3101" spans="2:2">
      <c r="B3101" s="13"/>
    </row>
    <row r="3105" spans="2:3" ht="31.5">
      <c r="B3105" s="19"/>
    </row>
    <row r="3107" spans="2:3">
      <c r="B3107" s="14"/>
      <c r="C3107" s="14"/>
    </row>
    <row r="3108" spans="2:3">
      <c r="B3108" s="15"/>
      <c r="C3108" s="15"/>
    </row>
    <row r="3109" spans="2:3">
      <c r="B3109" s="15"/>
      <c r="C3109" s="15"/>
    </row>
    <row r="3112" spans="2:3" ht="31.5">
      <c r="B3112" s="19"/>
    </row>
    <row r="3115" spans="2:3">
      <c r="B3115" s="10"/>
    </row>
    <row r="3116" spans="2:3">
      <c r="B3116" s="13"/>
    </row>
    <row r="3120" spans="2:3" ht="23.25">
      <c r="B3120" s="11"/>
    </row>
    <row r="3123" spans="2:2">
      <c r="B3123" s="10"/>
    </row>
    <row r="3124" spans="2:2">
      <c r="B3124" s="13"/>
    </row>
    <row r="3132" spans="2:2" ht="31.5">
      <c r="B3132" s="19"/>
    </row>
    <row r="3147" spans="2:2" ht="31.5">
      <c r="B3147" s="19"/>
    </row>
    <row r="3150" spans="2:2">
      <c r="B3150" s="5"/>
    </row>
    <row r="3151" spans="2:2">
      <c r="B3151" s="5"/>
    </row>
    <row r="3152" spans="2:2">
      <c r="B3152" s="5"/>
    </row>
    <row r="3155" spans="2:2">
      <c r="B3155" s="5"/>
    </row>
    <row r="3156" spans="2:2">
      <c r="B3156" s="5"/>
    </row>
    <row r="3157" spans="2:2">
      <c r="B3157" s="5"/>
    </row>
    <row r="3158" spans="2:2">
      <c r="B3158" s="5"/>
    </row>
    <row r="3169" spans="2:3">
      <c r="B3169" s="14"/>
      <c r="C3169" s="14"/>
    </row>
    <row r="3170" spans="2:3">
      <c r="B3170" s="15"/>
      <c r="C3170" s="15"/>
    </row>
    <row r="3171" spans="2:3">
      <c r="B3171" s="15"/>
      <c r="C3171" s="15"/>
    </row>
    <row r="3172" spans="2:3">
      <c r="B3172" s="15"/>
      <c r="C3172" s="15"/>
    </row>
    <row r="3175" spans="2:3">
      <c r="B3175" s="5"/>
    </row>
    <row r="3176" spans="2:3">
      <c r="B3176" s="9"/>
    </row>
    <row r="3177" spans="2:3">
      <c r="B3177" s="9"/>
    </row>
    <row r="3180" spans="2:3">
      <c r="B3180" s="5"/>
    </row>
    <row r="3181" spans="2:3">
      <c r="B3181" s="5"/>
    </row>
    <row r="3184" spans="2:3">
      <c r="B3184" s="5"/>
    </row>
    <row r="3185" spans="2:2">
      <c r="B3185" s="5"/>
    </row>
    <row r="3189" spans="2:2" ht="31.5">
      <c r="B3189" s="19"/>
    </row>
    <row r="3192" spans="2:2">
      <c r="B3192" s="5"/>
    </row>
    <row r="3193" spans="2:2">
      <c r="B3193" s="5"/>
    </row>
    <row r="3194" spans="2:2">
      <c r="B3194" s="5"/>
    </row>
    <row r="3195" spans="2:2">
      <c r="B3195" s="5"/>
    </row>
    <row r="3198" spans="2:2">
      <c r="B3198" s="5"/>
    </row>
    <row r="3199" spans="2:2">
      <c r="B3199" s="5"/>
    </row>
    <row r="3200" spans="2:2">
      <c r="B3200" s="5"/>
    </row>
    <row r="3206" spans="2:2" ht="31.5">
      <c r="B3206" s="19"/>
    </row>
    <row r="3209" spans="2:2">
      <c r="B3209" s="5"/>
    </row>
    <row r="3210" spans="2:2">
      <c r="B3210" s="5"/>
    </row>
    <row r="3215" spans="2:2">
      <c r="B3215" s="5"/>
    </row>
    <row r="3216" spans="2:2">
      <c r="B3216" s="5"/>
    </row>
    <row r="3217" spans="2:2">
      <c r="B3217" s="5"/>
    </row>
    <row r="3221" spans="2:2" ht="31.5">
      <c r="B3221" s="19"/>
    </row>
    <row r="3233" spans="2:2">
      <c r="B3233" s="5"/>
    </row>
    <row r="3234" spans="2:2">
      <c r="B3234" s="9"/>
    </row>
    <row r="3235" spans="2:2">
      <c r="B3235" s="9"/>
    </row>
    <row r="3236" spans="2:2">
      <c r="B3236" s="9"/>
    </row>
    <row r="3237" spans="2:2">
      <c r="B3237" s="9"/>
    </row>
    <row r="3241" spans="2:2" ht="31.5">
      <c r="B3241" s="19"/>
    </row>
    <row r="3244" spans="2:2">
      <c r="B3244" s="10"/>
    </row>
    <row r="3245" spans="2:2">
      <c r="B3245" s="13"/>
    </row>
    <row r="3248" spans="2:2">
      <c r="B3248" s="5"/>
    </row>
    <row r="3249" spans="2:2">
      <c r="B3249" s="5"/>
    </row>
    <row r="3250" spans="2:2">
      <c r="B3250" s="5"/>
    </row>
    <row r="3253" spans="2:2">
      <c r="B3253" s="5"/>
    </row>
    <row r="3254" spans="2:2">
      <c r="B3254" s="5"/>
    </row>
    <row r="3255" spans="2:2">
      <c r="B3255" s="5"/>
    </row>
    <row r="3259" spans="2:2" ht="31.5">
      <c r="B3259" s="19"/>
    </row>
    <row r="3262" spans="2:2">
      <c r="B3262" s="10"/>
    </row>
    <row r="3263" spans="2:2">
      <c r="B3263" s="13"/>
    </row>
    <row r="3268" spans="2:2">
      <c r="B3268" s="5"/>
    </row>
    <row r="3269" spans="2:2">
      <c r="B3269" s="5"/>
    </row>
    <row r="3270" spans="2:2">
      <c r="B3270" s="5"/>
    </row>
    <row r="3276" spans="2:2" ht="31.5">
      <c r="B3276" s="19"/>
    </row>
    <row r="3279" spans="2:2">
      <c r="B3279" s="5"/>
    </row>
    <row r="3280" spans="2:2">
      <c r="B3280" s="9"/>
    </row>
    <row r="3281" spans="2:2">
      <c r="B3281" s="9"/>
    </row>
    <row r="3284" spans="2:2">
      <c r="B3284" s="5"/>
    </row>
    <row r="3285" spans="2:2">
      <c r="B3285" s="5"/>
    </row>
    <row r="3286" spans="2:2">
      <c r="B3286" s="5"/>
    </row>
    <row r="3287" spans="2:2">
      <c r="B3287" s="5"/>
    </row>
    <row r="3288" spans="2:2">
      <c r="B3288" s="5"/>
    </row>
    <row r="3294" spans="2:2" ht="31.5">
      <c r="B3294" s="19"/>
    </row>
    <row r="3297" spans="2:2">
      <c r="B3297" s="10"/>
    </row>
    <row r="3298" spans="2:2">
      <c r="B3298" s="13"/>
    </row>
    <row r="3301" spans="2:2">
      <c r="B3301" s="5"/>
    </row>
    <row r="3302" spans="2:2">
      <c r="B3302" s="5"/>
    </row>
    <row r="3306" spans="2:2" ht="31.5">
      <c r="B3306" s="19"/>
    </row>
    <row r="3311" spans="2:2">
      <c r="B3311" s="10"/>
    </row>
    <row r="3312" spans="2:2">
      <c r="B3312" s="13"/>
    </row>
    <row r="3327" spans="2:2" ht="31.5">
      <c r="B3327" s="19"/>
    </row>
    <row r="3329" spans="2:2" ht="23.25">
      <c r="B3329" s="11"/>
    </row>
    <row r="3335" spans="2:2" ht="23.25">
      <c r="B3335" s="11"/>
    </row>
    <row r="3341" spans="2:2" ht="23.25">
      <c r="B3341" s="11"/>
    </row>
    <row r="3351" spans="2:2" ht="23.25">
      <c r="B3351" s="11"/>
    </row>
    <row r="3358" spans="2:2" ht="31.5">
      <c r="B3358" s="19"/>
    </row>
    <row r="3361" spans="2:2">
      <c r="B3361" s="5"/>
    </row>
    <row r="3362" spans="2:2">
      <c r="B3362" s="5"/>
    </row>
    <row r="3363" spans="2:2">
      <c r="B3363" s="5"/>
    </row>
    <row r="3366" spans="2:2">
      <c r="B3366" s="5"/>
    </row>
    <row r="3367" spans="2:2">
      <c r="B3367" s="5"/>
    </row>
    <row r="3417" spans="2:2" ht="31.5">
      <c r="B3417" s="19"/>
    </row>
    <row r="3420" spans="2:2">
      <c r="B3420" s="5"/>
    </row>
    <row r="3421" spans="2:2">
      <c r="B3421" s="5"/>
    </row>
    <row r="3422" spans="2:2">
      <c r="B3422" s="5"/>
    </row>
    <row r="3423" spans="2:2">
      <c r="B3423" s="5"/>
    </row>
    <row r="3424" spans="2:2">
      <c r="B3424" s="5"/>
    </row>
    <row r="3437" spans="2:2">
      <c r="B3437" s="5"/>
    </row>
    <row r="3438" spans="2:2">
      <c r="B3438" s="5"/>
    </row>
    <row r="3442" spans="2:2" ht="31.5">
      <c r="B3442" s="19"/>
    </row>
    <row r="3444" spans="2:2" ht="23.25">
      <c r="B3444" s="11"/>
    </row>
    <row r="3445" spans="2:2">
      <c r="B3445" s="10"/>
    </row>
    <row r="3446" spans="2:2">
      <c r="B3446" s="13"/>
    </row>
    <row r="3449" spans="2:2">
      <c r="B3449" s="10"/>
    </row>
    <row r="3450" spans="2:2">
      <c r="B3450" s="13"/>
    </row>
    <row r="3454" spans="2:2" ht="31.5">
      <c r="B3454" s="19"/>
    </row>
    <row r="3457" spans="2:2">
      <c r="B3457" s="10"/>
    </row>
    <row r="3458" spans="2:2">
      <c r="B3458" s="13"/>
    </row>
    <row r="3461" spans="2:2">
      <c r="B3461" s="5"/>
    </row>
    <row r="3462" spans="2:2">
      <c r="B3462" s="5"/>
    </row>
    <row r="3466" spans="2:2" ht="31.5">
      <c r="B3466" s="19"/>
    </row>
    <row r="3467" spans="2:2">
      <c r="B3467" s="10"/>
    </row>
    <row r="3468" spans="2:2">
      <c r="B3468" s="13"/>
    </row>
    <row r="3471" spans="2:2">
      <c r="B3471" s="5"/>
    </row>
    <row r="3472" spans="2:2">
      <c r="B3472" s="5"/>
    </row>
    <row r="3473" spans="2:2">
      <c r="B3473" s="5"/>
    </row>
    <row r="3477" spans="2:2" ht="31.5">
      <c r="B3477" s="19"/>
    </row>
    <row r="3479" spans="2:2" ht="23.25">
      <c r="B3479" s="11"/>
    </row>
    <row r="3480" spans="2:2">
      <c r="B3480" s="10"/>
    </row>
    <row r="3481" spans="2:2">
      <c r="B3481" s="13"/>
    </row>
    <row r="3484" spans="2:2">
      <c r="B3484" s="10"/>
    </row>
    <row r="3485" spans="2:2">
      <c r="B3485" s="13"/>
    </row>
    <row r="3489" spans="2:2" ht="31.5">
      <c r="B3489" s="19"/>
    </row>
    <row r="3492" spans="2:2">
      <c r="B3492" s="10"/>
    </row>
    <row r="3493" spans="2:2">
      <c r="B3493" s="13"/>
    </row>
    <row r="3496" spans="2:2">
      <c r="B3496" s="5"/>
    </row>
    <row r="3497" spans="2:2">
      <c r="B3497" s="5"/>
    </row>
    <row r="3501" spans="2:2" ht="31.5">
      <c r="B3501" s="19"/>
    </row>
    <row r="3508" spans="2:2" ht="31.5">
      <c r="B3508" s="19"/>
    </row>
    <row r="3511" spans="2:2">
      <c r="B3511" s="10"/>
    </row>
    <row r="3512" spans="2:2">
      <c r="B3512" s="13"/>
    </row>
    <row r="3515" spans="2:2">
      <c r="B3515" s="10"/>
    </row>
    <row r="3516" spans="2:2">
      <c r="B3516" s="13"/>
    </row>
    <row r="3522" spans="2:2" ht="31.5">
      <c r="B3522" s="19"/>
    </row>
    <row r="3525" spans="2:2">
      <c r="B3525" s="5"/>
    </row>
    <row r="3526" spans="2:2">
      <c r="B3526" s="5"/>
    </row>
    <row r="3527" spans="2:2">
      <c r="B3527" s="5"/>
    </row>
    <row r="3533" spans="2:2" ht="31.5">
      <c r="B3533" s="19"/>
    </row>
    <row r="3536" spans="2:2">
      <c r="B3536" s="5"/>
    </row>
    <row r="3537" spans="2:2">
      <c r="B3537" s="5"/>
    </row>
    <row r="3538" spans="2:2">
      <c r="B3538" s="5"/>
    </row>
    <row r="3539" spans="2:2">
      <c r="B3539" s="5"/>
    </row>
    <row r="3586" spans="2:3">
      <c r="B3586" s="5"/>
    </row>
    <row r="3587" spans="2:3">
      <c r="B3587" s="5"/>
    </row>
    <row r="3588" spans="2:3">
      <c r="B3588" s="7"/>
    </row>
    <row r="3592" spans="2:3">
      <c r="B3592" s="14"/>
      <c r="C3592" s="14"/>
    </row>
    <row r="3593" spans="2:3">
      <c r="B3593" s="15"/>
      <c r="C3593" s="15"/>
    </row>
    <row r="3594" spans="2:3">
      <c r="B3594" s="15"/>
      <c r="C3594" s="15"/>
    </row>
    <row r="3595" spans="2:3">
      <c r="B3595" s="15"/>
      <c r="C3595" s="15"/>
    </row>
    <row r="3598" spans="2:3">
      <c r="B3598" s="10"/>
    </row>
    <row r="3599" spans="2:3">
      <c r="B3599" s="13"/>
    </row>
    <row r="3603" spans="2:2" ht="31.5">
      <c r="B3603" s="19"/>
    </row>
    <row r="3621" spans="2:2" ht="31.5">
      <c r="B3621" s="19"/>
    </row>
    <row r="3626" spans="2:2">
      <c r="B3626" s="5"/>
    </row>
    <row r="3627" spans="2:2">
      <c r="B3627" s="5"/>
    </row>
    <row r="3628" spans="2:2">
      <c r="B3628" s="5"/>
    </row>
    <row r="3629" spans="2:2">
      <c r="B3629" s="5"/>
    </row>
    <row r="3635" spans="2:2" ht="31.5">
      <c r="B3635" s="19"/>
    </row>
    <row r="3637" spans="2:2">
      <c r="B3637" s="21"/>
    </row>
    <row r="3643" spans="2:2">
      <c r="B3643" s="21"/>
    </row>
    <row r="3649" spans="2:2">
      <c r="B3649" s="21"/>
    </row>
    <row r="3655" spans="2:2">
      <c r="B3655" s="21"/>
    </row>
    <row r="3661" spans="2:2" ht="31.5">
      <c r="B3661" s="19"/>
    </row>
    <row r="3665" spans="2:3">
      <c r="B3665" s="14"/>
      <c r="C3665" s="14"/>
    </row>
    <row r="3666" spans="2:3">
      <c r="B3666" s="15"/>
      <c r="C3666" s="15"/>
    </row>
    <row r="3667" spans="2:3">
      <c r="B3667" s="15"/>
      <c r="C3667" s="15"/>
    </row>
    <row r="3668" spans="2:3">
      <c r="B3668" s="15"/>
      <c r="C3668" s="15"/>
    </row>
    <row r="3669" spans="2:3">
      <c r="B3669" s="15"/>
      <c r="C3669" s="15"/>
    </row>
    <row r="3674" spans="2:3">
      <c r="B3674" s="5"/>
    </row>
    <row r="3675" spans="2:3">
      <c r="B3675" s="9"/>
    </row>
    <row r="3676" spans="2:3">
      <c r="B3676" s="5"/>
    </row>
    <row r="3680" spans="2:3" ht="31.5">
      <c r="B3680" s="19"/>
    </row>
    <row r="3683" spans="2:2">
      <c r="B3683" s="5"/>
    </row>
    <row r="3684" spans="2:2">
      <c r="B3684" s="5"/>
    </row>
    <row r="3687" spans="2:2">
      <c r="B3687" s="5"/>
    </row>
    <row r="3688" spans="2:2">
      <c r="B3688" s="5"/>
    </row>
    <row r="3689" spans="2:2">
      <c r="B3689" s="5"/>
    </row>
    <row r="3690" spans="2:2">
      <c r="B3690" s="5"/>
    </row>
    <row r="3691" spans="2:2">
      <c r="B3691" s="5"/>
    </row>
    <row r="3695" spans="2:2" ht="31.5">
      <c r="B3695" s="19"/>
    </row>
    <row r="3698" spans="2:2">
      <c r="B3698" s="10"/>
    </row>
    <row r="3699" spans="2:2">
      <c r="B3699" s="13"/>
    </row>
    <row r="3700" spans="2:2">
      <c r="B3700" s="13"/>
    </row>
    <row r="3701" spans="2:2">
      <c r="B3701" s="13"/>
    </row>
    <row r="3702" spans="2:2">
      <c r="B3702" s="13"/>
    </row>
    <row r="3708" spans="2:2" ht="31.5">
      <c r="B3708" s="19"/>
    </row>
    <row r="3711" spans="2:2">
      <c r="B3711" s="5"/>
    </row>
    <row r="3712" spans="2:2">
      <c r="B3712" s="5"/>
    </row>
    <row r="3713" spans="2:2">
      <c r="B3713" s="5"/>
    </row>
    <row r="3716" spans="2:2">
      <c r="B3716" s="10"/>
    </row>
    <row r="3717" spans="2:2">
      <c r="B3717" s="13"/>
    </row>
    <row r="3721" spans="2:2" ht="31.5">
      <c r="B3721" s="19"/>
    </row>
    <row r="3724" spans="2:2">
      <c r="B3724" s="10"/>
    </row>
    <row r="3725" spans="2:2">
      <c r="B3725" s="13"/>
    </row>
    <row r="3728" spans="2:2">
      <c r="B3728" s="5"/>
    </row>
    <row r="3729" spans="2:2">
      <c r="B3729" s="5"/>
    </row>
    <row r="3730" spans="2:2">
      <c r="B3730" s="5"/>
    </row>
    <row r="3736" spans="2:2" ht="31.5">
      <c r="B3736" s="19"/>
    </row>
    <row r="3741" spans="2:2">
      <c r="B3741" s="5"/>
    </row>
    <row r="3742" spans="2:2">
      <c r="B3742" s="5"/>
    </row>
    <row r="3743" spans="2:2">
      <c r="B3743" s="5"/>
    </row>
    <row r="3744" spans="2:2">
      <c r="B3744" s="5"/>
    </row>
    <row r="3745" spans="2:2">
      <c r="B3745" s="5"/>
    </row>
    <row r="3749" spans="2:2" ht="31.5">
      <c r="B3749" s="19"/>
    </row>
    <row r="3751" spans="2:2" ht="23.25">
      <c r="B3751" s="11"/>
    </row>
    <row r="3752" spans="2:2">
      <c r="B3752" s="10"/>
    </row>
    <row r="3753" spans="2:2">
      <c r="B3753" s="13"/>
    </row>
    <row r="3757" spans="2:2" ht="23.25">
      <c r="B3757" s="11"/>
    </row>
    <row r="3758" spans="2:2">
      <c r="B3758" s="10"/>
    </row>
    <row r="3759" spans="2:2">
      <c r="B3759" s="13"/>
    </row>
    <row r="3763" spans="2:2" ht="23.25">
      <c r="B3763" s="11"/>
    </row>
    <row r="3764" spans="2:2">
      <c r="B3764" s="10"/>
    </row>
    <row r="3765" spans="2:2">
      <c r="B3765" s="13"/>
    </row>
    <row r="3772" spans="2:2">
      <c r="B3772" s="5"/>
    </row>
    <row r="3773" spans="2:2">
      <c r="B3773" s="5"/>
    </row>
    <row r="3774" spans="2:2">
      <c r="B3774" s="5"/>
    </row>
    <row r="3787" spans="2:2" ht="31.5">
      <c r="B3787" s="19"/>
    </row>
    <row r="3788" spans="2:2">
      <c r="B3788" s="10"/>
    </row>
    <row r="3789" spans="2:2">
      <c r="B3789" s="13"/>
    </row>
    <row r="3793" spans="2:5" ht="31.5">
      <c r="B3793" s="19"/>
    </row>
    <row r="3797" spans="2:5">
      <c r="B3797" s="14"/>
      <c r="C3797" s="14"/>
      <c r="D3797" s="14"/>
      <c r="E3797" s="14" t="s">
        <v>10</v>
      </c>
    </row>
    <row r="3798" spans="2:5">
      <c r="B3798" s="15"/>
      <c r="C3798" s="15"/>
      <c r="D3798" s="15"/>
      <c r="E3798" s="15" t="s">
        <v>11</v>
      </c>
    </row>
    <row r="3806" spans="2:5">
      <c r="B3806" s="5"/>
    </row>
    <row r="3807" spans="2:5">
      <c r="B3807" s="5"/>
    </row>
    <row r="3808" spans="2:5">
      <c r="B3808" s="5"/>
    </row>
    <row r="3809" spans="2:2">
      <c r="B3809" s="5"/>
    </row>
    <row r="3810" spans="2:2">
      <c r="B3810" s="5"/>
    </row>
    <row r="3814" spans="2:2" ht="31.5">
      <c r="B3814" s="19"/>
    </row>
    <row r="3816" spans="2:2" ht="23.25">
      <c r="B3816" s="11"/>
    </row>
    <row r="3817" spans="2:2">
      <c r="B3817" s="10"/>
    </row>
    <row r="3818" spans="2:2">
      <c r="B3818" s="13"/>
    </row>
    <row r="3822" spans="2:2" ht="18">
      <c r="B3822" s="12"/>
    </row>
    <row r="3823" spans="2:2">
      <c r="B3823" s="10"/>
    </row>
    <row r="3824" spans="2:2">
      <c r="B3824" s="13"/>
    </row>
    <row r="3827" spans="2:2">
      <c r="B3827" s="10"/>
    </row>
    <row r="3828" spans="2:2">
      <c r="B3828" s="13"/>
    </row>
    <row r="3832" spans="2:2" ht="18">
      <c r="B3832" s="12"/>
    </row>
    <row r="3833" spans="2:2">
      <c r="B3833" s="10"/>
    </row>
    <row r="3834" spans="2:2">
      <c r="B3834" s="13"/>
    </row>
    <row r="3837" spans="2:2">
      <c r="B3837" s="5"/>
    </row>
    <row r="3838" spans="2:2">
      <c r="B3838" s="5"/>
    </row>
    <row r="3839" spans="2:2">
      <c r="B3839" s="5"/>
    </row>
    <row r="3840" spans="2:2">
      <c r="B3840" s="5"/>
    </row>
    <row r="3844" spans="2:2" ht="23.25">
      <c r="B3844" s="11"/>
    </row>
    <row r="3847" spans="2:2">
      <c r="B3847" s="10"/>
    </row>
    <row r="3848" spans="2:2">
      <c r="B3848" s="13"/>
    </row>
    <row r="3852" spans="2:2" ht="23.25">
      <c r="B3852" s="11"/>
    </row>
    <row r="3853" spans="2:2">
      <c r="B3853" s="10"/>
    </row>
    <row r="3854" spans="2:2">
      <c r="B3854" s="13"/>
    </row>
    <row r="3858" spans="2:2" ht="31.5">
      <c r="B3858" s="19"/>
    </row>
    <row r="3864" spans="2:2">
      <c r="B3864" s="14"/>
    </row>
    <row r="3865" spans="2:2">
      <c r="B3865" s="15"/>
    </row>
    <row r="3866" spans="2:2">
      <c r="B3866" s="15"/>
    </row>
    <row r="3867" spans="2:2">
      <c r="B3867" s="15"/>
    </row>
    <row r="3868" spans="2:2">
      <c r="B3868" s="15"/>
    </row>
    <row r="3871" spans="2:2" ht="31.5">
      <c r="B3871" s="19"/>
    </row>
    <row r="3874" spans="2:2">
      <c r="B3874" s="5"/>
    </row>
    <row r="3875" spans="2:2">
      <c r="B3875" s="5"/>
    </row>
    <row r="3878" spans="2:2">
      <c r="B3878" s="5"/>
    </row>
    <row r="3879" spans="2:2">
      <c r="B3879" s="5"/>
    </row>
    <row r="3880" spans="2:2">
      <c r="B3880" s="5"/>
    </row>
    <row r="3881" spans="2:2">
      <c r="B3881" s="5"/>
    </row>
    <row r="3885" spans="2:2" ht="31.5">
      <c r="B3885" s="19"/>
    </row>
    <row r="3888" spans="2:2">
      <c r="B3888" s="10"/>
    </row>
    <row r="3889" spans="2:3">
      <c r="B3889" s="13"/>
    </row>
    <row r="3892" spans="2:3">
      <c r="B3892" s="10"/>
    </row>
    <row r="3893" spans="2:3">
      <c r="B3893" s="13"/>
    </row>
    <row r="3894" spans="2:3">
      <c r="B3894" s="13"/>
    </row>
    <row r="3895" spans="2:3">
      <c r="B3895" s="13"/>
    </row>
    <row r="3899" spans="2:3" ht="31.5">
      <c r="B3899" s="19"/>
    </row>
    <row r="3901" spans="2:3">
      <c r="B3901" s="14"/>
      <c r="C3901" s="14"/>
    </row>
    <row r="3902" spans="2:3">
      <c r="B3902" s="15"/>
      <c r="C3902" s="15"/>
    </row>
    <row r="3903" spans="2:3">
      <c r="B3903" s="15"/>
      <c r="C3903" s="15"/>
    </row>
    <row r="3904" spans="2:3">
      <c r="B3904" s="15"/>
      <c r="C3904" s="15"/>
    </row>
    <row r="3905" spans="2:3">
      <c r="B3905" s="15"/>
      <c r="C3905" s="15"/>
    </row>
    <row r="3908" spans="2:3" ht="23.25">
      <c r="B3908" s="11"/>
    </row>
    <row r="3911" spans="2:3">
      <c r="B3911" s="10"/>
    </row>
    <row r="3912" spans="2:3">
      <c r="B3912" s="13"/>
    </row>
    <row r="3915" spans="2:3">
      <c r="B3915" s="10"/>
    </row>
    <row r="3916" spans="2:3">
      <c r="B3916" s="13"/>
    </row>
    <row r="3919" spans="2:3">
      <c r="B3919" s="10"/>
    </row>
    <row r="3920" spans="2:3">
      <c r="B3920" s="13"/>
    </row>
    <row r="3925" spans="2:2">
      <c r="B3925" s="10"/>
    </row>
    <row r="3926" spans="2:2">
      <c r="B3926" s="13"/>
    </row>
    <row r="3929" spans="2:2">
      <c r="B3929" s="10"/>
    </row>
    <row r="3930" spans="2:2">
      <c r="B3930" s="13"/>
    </row>
    <row r="3933" spans="2:2">
      <c r="B3933" s="10"/>
    </row>
    <row r="3934" spans="2:2">
      <c r="B3934" s="13"/>
    </row>
    <row r="3938" spans="2:2" ht="31.5">
      <c r="B3938" s="19"/>
    </row>
    <row r="3941" spans="2:2">
      <c r="B3941" s="10"/>
    </row>
    <row r="3942" spans="2:2">
      <c r="B3942" s="13"/>
    </row>
    <row r="3948" spans="2:2" ht="31.5">
      <c r="B3948" s="19"/>
    </row>
    <row r="3958" spans="2:2" ht="31.5">
      <c r="B3958" s="19"/>
    </row>
    <row r="3959" spans="2:2">
      <c r="B3959" s="5"/>
    </row>
    <row r="3960" spans="2:2">
      <c r="B3960" s="5"/>
    </row>
    <row r="3961" spans="2:2">
      <c r="B3961" s="5"/>
    </row>
    <row r="3962" spans="2:2">
      <c r="B3962" s="5"/>
    </row>
    <row r="3968" spans="2:2" ht="31.5">
      <c r="B3968" s="19"/>
    </row>
    <row r="3971" spans="2:2">
      <c r="B3971" s="5"/>
    </row>
    <row r="3972" spans="2:2">
      <c r="B3972" s="5"/>
    </row>
    <row r="3975" spans="2:2">
      <c r="B3975" s="5"/>
    </row>
    <row r="3976" spans="2:2">
      <c r="B3976" s="5"/>
    </row>
    <row r="3986" spans="2:3">
      <c r="B3986" s="10"/>
    </row>
    <row r="3987" spans="2:3">
      <c r="B3987" s="13"/>
    </row>
    <row r="3991" spans="2:3" ht="31.5">
      <c r="B3991" s="19"/>
    </row>
    <row r="3993" spans="2:3">
      <c r="B3993" s="14"/>
      <c r="C3993" s="14"/>
    </row>
    <row r="3994" spans="2:3">
      <c r="B3994" s="15"/>
      <c r="C3994" s="15"/>
    </row>
    <row r="3995" spans="2:3">
      <c r="B3995" s="15"/>
      <c r="C3995" s="15"/>
    </row>
    <row r="3996" spans="2:3">
      <c r="B3996" s="15"/>
      <c r="C3996" s="15"/>
    </row>
    <row r="3999" spans="2:3" ht="31.5">
      <c r="B3999" s="19"/>
    </row>
    <row r="4000" spans="2:3">
      <c r="B4000" s="10"/>
    </row>
    <row r="4001" spans="2:2">
      <c r="B4001" s="13"/>
    </row>
    <row r="4006" spans="2:2">
      <c r="B4006" s="10"/>
    </row>
    <row r="4007" spans="2:2">
      <c r="B4007" s="13"/>
    </row>
    <row r="4013" spans="2:2" ht="31.5">
      <c r="B4013" s="19"/>
    </row>
    <row r="4016" spans="2:2">
      <c r="B4016" s="5"/>
    </row>
    <row r="4017" spans="2:2">
      <c r="B4017" s="5"/>
    </row>
    <row r="4018" spans="2:2">
      <c r="B4018" s="5"/>
    </row>
    <row r="4021" spans="2:2">
      <c r="B4021" s="10"/>
    </row>
    <row r="4022" spans="2:2">
      <c r="B4022" s="13"/>
    </row>
    <row r="4026" spans="2:2" ht="31.5">
      <c r="B4026" s="19"/>
    </row>
    <row r="4029" spans="2:2">
      <c r="B4029" s="5"/>
    </row>
    <row r="4030" spans="2:2">
      <c r="B4030" s="5"/>
    </row>
    <row r="4031" spans="2:2">
      <c r="B4031" s="5"/>
    </row>
    <row r="4034" spans="2:2">
      <c r="B4034" s="5"/>
    </row>
    <row r="4035" spans="2:2">
      <c r="B4035" s="5"/>
    </row>
    <row r="4036" spans="2:2">
      <c r="B4036" s="5"/>
    </row>
    <row r="4037" spans="2:2">
      <c r="B4037" s="5"/>
    </row>
    <row r="4038" spans="2:2">
      <c r="B4038" s="5"/>
    </row>
    <row r="4074" spans="2:2">
      <c r="B4074" s="10"/>
    </row>
    <row r="4075" spans="2:2">
      <c r="B4075" s="13"/>
    </row>
    <row r="4083" spans="2:3" ht="31.5">
      <c r="B4083" s="19"/>
    </row>
    <row r="4089" spans="2:3">
      <c r="B4089" s="14"/>
      <c r="C4089" s="14"/>
    </row>
    <row r="4090" spans="2:3">
      <c r="B4090" s="15"/>
      <c r="C4090" s="15"/>
    </row>
    <row r="4091" spans="2:3">
      <c r="B4091" s="15"/>
      <c r="C4091" s="15"/>
    </row>
    <row r="4092" spans="2:3">
      <c r="B4092" s="15"/>
      <c r="C4092" s="15"/>
    </row>
    <row r="4093" spans="2:3">
      <c r="B4093" s="15"/>
      <c r="C4093" s="15"/>
    </row>
    <row r="4096" spans="2:3" ht="31.5">
      <c r="B4096" s="19"/>
    </row>
    <row r="4098" spans="2:2" ht="23.25">
      <c r="B4098" s="11"/>
    </row>
    <row r="4099" spans="2:2">
      <c r="B4099" s="10"/>
    </row>
    <row r="4100" spans="2:2">
      <c r="B4100" s="13"/>
    </row>
    <row r="4102" spans="2:2" ht="23.25">
      <c r="B4102" s="11"/>
    </row>
    <row r="4103" spans="2:2">
      <c r="B4103" s="10"/>
    </row>
    <row r="4104" spans="2:2">
      <c r="B4104" s="13"/>
    </row>
    <row r="4106" spans="2:2" ht="23.25">
      <c r="B4106" s="11"/>
    </row>
    <row r="4107" spans="2:2">
      <c r="B4107" s="10"/>
    </row>
    <row r="4108" spans="2:2">
      <c r="B4108" s="13"/>
    </row>
    <row r="4110" spans="2:2" ht="23.25">
      <c r="B4110" s="11"/>
    </row>
    <row r="4111" spans="2:2">
      <c r="B4111" s="10"/>
    </row>
    <row r="4112" spans="2:2">
      <c r="B4112" s="13"/>
    </row>
    <row r="4116" spans="2:2" ht="31.5">
      <c r="B4116" s="19"/>
    </row>
    <row r="4122" spans="2:2" ht="23.25">
      <c r="B4122" s="11"/>
    </row>
    <row r="4123" spans="2:2">
      <c r="B4123" s="10"/>
    </row>
    <row r="4124" spans="2:2">
      <c r="B4124" s="13"/>
    </row>
    <row r="4128" spans="2:2" ht="31.5">
      <c r="B4128" s="19"/>
    </row>
    <row r="4134" spans="2:2" ht="31.5">
      <c r="B4134" s="19"/>
    </row>
    <row r="4136" spans="2:2" ht="23.25">
      <c r="B4136" s="11"/>
    </row>
    <row r="4137" spans="2:2">
      <c r="B4137" s="10"/>
    </row>
    <row r="4138" spans="2:2">
      <c r="B4138" s="13"/>
    </row>
    <row r="4144" spans="2:2" ht="23.25">
      <c r="B4144" s="11"/>
    </row>
    <row r="4145" spans="2:2">
      <c r="B4145" s="10"/>
    </row>
    <row r="4146" spans="2:2">
      <c r="B4146" s="13"/>
    </row>
    <row r="4152" spans="2:2" ht="23.25">
      <c r="B4152" s="11"/>
    </row>
    <row r="4153" spans="2:2">
      <c r="B4153" s="10"/>
    </row>
    <row r="4154" spans="2:2">
      <c r="B4154" s="13"/>
    </row>
    <row r="4160" spans="2:2" ht="23.25">
      <c r="B4160" s="11"/>
    </row>
    <row r="4161" spans="2:2">
      <c r="B4161" s="10"/>
    </row>
    <row r="4162" spans="2:2">
      <c r="B4162" s="13"/>
    </row>
    <row r="4181" spans="2:4" ht="23.25">
      <c r="B4181" s="11"/>
    </row>
    <row r="4187" spans="2:4">
      <c r="B4187" s="14"/>
      <c r="C4187" s="14"/>
      <c r="D4187" s="14"/>
    </row>
    <row r="4188" spans="2:4">
      <c r="B4188" s="15"/>
      <c r="C4188" s="15"/>
      <c r="D4188" s="15"/>
    </row>
    <row r="4189" spans="2:4">
      <c r="B4189" s="15"/>
      <c r="C4189" s="15"/>
      <c r="D4189" s="15"/>
    </row>
    <row r="4190" spans="2:4">
      <c r="B4190" s="15"/>
      <c r="C4190" s="15"/>
      <c r="D4190" s="15"/>
    </row>
    <row r="4191" spans="2:4">
      <c r="B4191" s="15"/>
      <c r="C4191" s="15"/>
      <c r="D4191" s="15"/>
    </row>
    <row r="4195" spans="2:2">
      <c r="B4195" s="20"/>
    </row>
    <row r="4196" spans="2:2">
      <c r="B4196" s="20"/>
    </row>
    <row r="4197" spans="2:2">
      <c r="B4197" s="20"/>
    </row>
    <row r="4198" spans="2:2">
      <c r="B4198" s="20"/>
    </row>
    <row r="4200" spans="2:2">
      <c r="B4200" s="20"/>
    </row>
    <row r="4201" spans="2:2">
      <c r="B4201" s="20"/>
    </row>
    <row r="4202" spans="2:2">
      <c r="B4202" s="20"/>
    </row>
    <row r="4203" spans="2:2">
      <c r="B4203" s="20"/>
    </row>
    <row r="4205" spans="2:2" ht="23.25">
      <c r="B4205" s="11"/>
    </row>
    <row r="4208" spans="2:2">
      <c r="B4208" s="10"/>
    </row>
    <row r="4209" spans="2:2">
      <c r="B4209" s="13"/>
    </row>
    <row r="4215" spans="2:2">
      <c r="B4215" s="20"/>
    </row>
    <row r="4216" spans="2:2">
      <c r="B4216" s="20"/>
    </row>
    <row r="4217" spans="2:2">
      <c r="B4217" s="20"/>
    </row>
    <row r="4218" spans="2:2">
      <c r="B4218" s="20"/>
    </row>
    <row r="4222" spans="2:2" ht="23.25">
      <c r="B4222" s="11"/>
    </row>
    <row r="4225" spans="2:2">
      <c r="B4225" s="10"/>
    </row>
    <row r="4226" spans="2:2">
      <c r="B4226" s="13"/>
    </row>
    <row r="4229" spans="2:2">
      <c r="B4229" s="10"/>
    </row>
    <row r="4230" spans="2:2">
      <c r="B4230" s="13"/>
    </row>
    <row r="4235" spans="2:2">
      <c r="B4235" s="10"/>
    </row>
    <row r="4236" spans="2:2">
      <c r="B4236" s="13"/>
    </row>
    <row r="4237" spans="2:2">
      <c r="B4237" s="13"/>
    </row>
    <row r="4238" spans="2:2">
      <c r="B4238" s="13"/>
    </row>
    <row r="4239" spans="2:2">
      <c r="B4239" s="13"/>
    </row>
    <row r="4240" spans="2:2">
      <c r="B4240" s="13"/>
    </row>
    <row r="4244" spans="2:2" ht="23.25">
      <c r="B4244" s="11"/>
    </row>
    <row r="4247" spans="2:2">
      <c r="B4247" s="10"/>
    </row>
    <row r="4248" spans="2:2">
      <c r="B4248" s="13"/>
    </row>
    <row r="4251" spans="2:2">
      <c r="B4251" s="10"/>
    </row>
    <row r="4252" spans="2:2">
      <c r="B4252" s="13"/>
    </row>
    <row r="4257" spans="2:2">
      <c r="B4257" s="10"/>
    </row>
    <row r="4258" spans="2:2">
      <c r="B4258" s="13"/>
    </row>
    <row r="4262" spans="2:2" ht="23.25">
      <c r="B4262" s="11"/>
    </row>
    <row r="4265" spans="2:2">
      <c r="B4265" s="10"/>
    </row>
    <row r="4266" spans="2:2">
      <c r="B4266" s="13"/>
    </row>
    <row r="4269" spans="2:2">
      <c r="B4269" s="10"/>
    </row>
    <row r="4270" spans="2:2">
      <c r="B4270" s="13"/>
    </row>
    <row r="4274" spans="2:2" ht="23.25">
      <c r="B4274" s="11"/>
    </row>
    <row r="4277" spans="2:2">
      <c r="B4277" s="5"/>
    </row>
    <row r="4278" spans="2:2">
      <c r="B4278" s="9"/>
    </row>
    <row r="4279" spans="2:2">
      <c r="B4279" s="9"/>
    </row>
    <row r="4280" spans="2:2">
      <c r="B4280" s="9"/>
    </row>
    <row r="4281" spans="2:2">
      <c r="B4281" s="9"/>
    </row>
    <row r="4327" spans="2:2" ht="31.5">
      <c r="B4327" s="19"/>
    </row>
    <row r="4328" spans="2:2">
      <c r="B4328" s="10"/>
    </row>
    <row r="4329" spans="2:2">
      <c r="B4329" s="13"/>
    </row>
    <row r="4334" spans="2:2">
      <c r="B4334" s="10"/>
    </row>
    <row r="4335" spans="2:2">
      <c r="B4335" s="13"/>
    </row>
    <row r="4338" spans="2:2">
      <c r="B4338" s="5"/>
    </row>
    <row r="4339" spans="2:2">
      <c r="B4339" s="5"/>
    </row>
    <row r="4340" spans="2:2">
      <c r="B4340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2026-05-07T15:45:37Z</dcterms:modified>
</cp:coreProperties>
</file>